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1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2.png" ContentType="image/png"/>
  <Override PartName="/xl/media/image11.png" ContentType="image/png"/>
  <Override PartName="/xl/media/image17.png" ContentType="image/png"/>
  <Override PartName="/xl/media/image8.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t 1" sheetId="1" state="visible" r:id="rId3"/>
    <sheet name="Set 2"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Source: Shanghai ML input table (set CSV), as listed. Float noise removed, e.g. 50.99999999999994 -&gt; 51.00.</t>
        </r>
      </text>
    </comment>
    <comment ref="D1" authorId="0">
      <text>
        <r>
          <rPr>
            <sz val="10"/>
            <rFont val="Arial"/>
            <family val="2"/>
          </rPr>
          <t xml:space="preserve">Source: Shanghai ML input table (set CSV). Wavelength of the sinusoidal CM along y, in nm.</t>
        </r>
      </text>
    </comment>
    <comment ref="E1" authorId="0">
      <text>
        <r>
          <rPr>
            <sz val="10"/>
            <rFont val="Arial"/>
            <family val="2"/>
          </rPr>
          <t xml:space="preserve">= L / lambda, where L is the domain length set on the Notes sheet (cell B4 for Set 1, B5 for Set 2).</t>
        </r>
      </text>
    </comment>
    <comment ref="F1" authorId="0">
      <text>
        <r>
          <rPr>
            <sz val="10"/>
            <rFont val="Arial"/>
            <family val="2"/>
          </rPr>
          <t xml:space="preserve">Source: Shanghai ML input table (set CSV). Half peak-to-peak amplitude, in % composition. Float noise removed, e.g. 0.39999999999999997 -&gt; 0.40.</t>
        </r>
      </text>
    </comment>
    <comment ref="G1" authorId="0">
      <text>
        <r>
          <rPr>
            <sz val="10"/>
            <rFont val="Arial"/>
            <family val="2"/>
          </rPr>
          <t xml:space="preserve">avg - amp when the domain holds &gt;= 0.75 waves, otherwise the sine value at the end of the domain (sine.m starts at phase 0 at y = 0). Closed-form estimate; see Notes.</t>
        </r>
      </text>
    </comment>
    <comment ref="H1" authorId="0">
      <text>
        <r>
          <rPr>
            <sz val="10"/>
            <rFont val="Arial"/>
            <family val="2"/>
          </rPr>
          <t xml:space="preserve">avg + amp when the domain holds &gt;= 0.25 waves, otherwise the sine value at the end of the domain. See Notes.</t>
        </r>
      </text>
    </comment>
    <comment ref="I1" authorId="0">
      <text>
        <r>
          <rPr>
            <sz val="10"/>
            <rFont val="Arial"/>
            <family val="2"/>
          </rPr>
          <t xml:space="preserve">Shanghai ML prediction, from the set CSV, unrounded. Units not stated in the source file.</t>
        </r>
      </text>
    </comment>
    <comment ref="J1" authorId="0">
      <text>
        <r>
          <rPr>
            <sz val="10"/>
            <rFont val="Arial"/>
            <family val="2"/>
          </rPr>
          <t xml:space="preserve">To fill in: SIM result from the 3D phase-field cycle.</t>
        </r>
      </text>
    </comment>
    <comment ref="L1" authorId="0">
      <text>
        <r>
          <rPr>
            <sz val="10"/>
            <rFont val="Arial"/>
            <family val="2"/>
          </rPr>
          <t xml:space="preserve">Shanghai ML prediction, from the set CSV, unrounded. Units not stated in the source file.</t>
        </r>
      </text>
    </comment>
    <comment ref="O1" authorId="0">
      <text>
        <r>
          <rPr>
            <sz val="10"/>
            <rFont val="Arial"/>
            <family val="2"/>
          </rPr>
          <t xml:space="preserve">Shanghai ML prediction, from the set CSV, unrounded. Units not stated in the source file.</t>
        </r>
      </text>
    </comment>
    <comment ref="R1" authorId="0">
      <text>
        <r>
          <rPr>
            <sz val="10"/>
            <rFont val="Arial"/>
            <family val="2"/>
          </rPr>
          <t xml:space="preserve">Shanghai ML prediction, from the set CSV, unrounded. Units not stated in the source file.</t>
        </r>
      </text>
    </comment>
    <comment ref="T1" authorId="0">
      <text>
        <r>
          <rPr>
            <sz val="10"/>
            <rFont val="Arial"/>
            <family val="2"/>
          </rPr>
          <t xml:space="preserve">= ML loop area / SIM loop area. Blank until the SIM loop area is filled in.</t>
        </r>
      </text>
    </comment>
    <comment ref="U1" authorId="0">
      <text>
        <r>
          <rPr>
            <sz val="10"/>
            <rFont val="Arial"/>
            <family val="2"/>
          </rPr>
          <t xml:space="preserve">Rank of ML loop area minus rank of SIM loop area, both ascending within the 10 points of the set. Shown only once all 10 SIM loop areas are filled in. Reverse-engineered from Aum's 2D sweep sample (matches all 10 rows).</t>
        </r>
      </text>
    </comment>
    <comment ref="Z1" authorId="0">
      <text>
        <r>
          <rPr>
            <sz val="10"/>
            <rFont val="Arial"/>
            <family val="2"/>
          </rPr>
          <t xml:space="preserve">Inferred from sine.m / write_vtk (set2_pt7.vtk). Edit if your file names differ.</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Source: Shanghai ML input table (set CSV), as listed. Float noise removed, e.g. 50.99999999999994 -&gt; 51.00.</t>
        </r>
      </text>
    </comment>
    <comment ref="D1" authorId="0">
      <text>
        <r>
          <rPr>
            <sz val="10"/>
            <rFont val="Arial"/>
            <family val="2"/>
          </rPr>
          <t xml:space="preserve">Source: Shanghai ML input table (set CSV). Wavelength of the sinusoidal CM along y, in nm.</t>
        </r>
      </text>
    </comment>
    <comment ref="E1" authorId="0">
      <text>
        <r>
          <rPr>
            <sz val="10"/>
            <rFont val="Arial"/>
            <family val="2"/>
          </rPr>
          <t xml:space="preserve">= L / lambda, where L is the domain length set on the Notes sheet (cell B4 for Set 1, B5 for Set 2).</t>
        </r>
      </text>
    </comment>
    <comment ref="F1" authorId="0">
      <text>
        <r>
          <rPr>
            <sz val="10"/>
            <rFont val="Arial"/>
            <family val="2"/>
          </rPr>
          <t xml:space="preserve">Source: Shanghai ML input table (set CSV). Half peak-to-peak amplitude, in % composition. Float noise removed, e.g. 0.39999999999999997 -&gt; 0.40.</t>
        </r>
      </text>
    </comment>
    <comment ref="G1" authorId="0">
      <text>
        <r>
          <rPr>
            <sz val="10"/>
            <rFont val="Arial"/>
            <family val="2"/>
          </rPr>
          <t xml:space="preserve">avg - amp when the domain holds &gt;= 0.75 waves, otherwise the sine value at the end of the domain (sine.m starts at phase 0 at y = 0). Closed-form estimate; see Notes.</t>
        </r>
      </text>
    </comment>
    <comment ref="H1" authorId="0">
      <text>
        <r>
          <rPr>
            <sz val="10"/>
            <rFont val="Arial"/>
            <family val="2"/>
          </rPr>
          <t xml:space="preserve">avg + amp when the domain holds &gt;= 0.25 waves, otherwise the sine value at the end of the domain. See Notes.</t>
        </r>
      </text>
    </comment>
    <comment ref="I1" authorId="0">
      <text>
        <r>
          <rPr>
            <sz val="10"/>
            <rFont val="Arial"/>
            <family val="2"/>
          </rPr>
          <t xml:space="preserve">Shanghai ML prediction, from the set CSV, unrounded. Units not stated in the source file.</t>
        </r>
      </text>
    </comment>
    <comment ref="J1" authorId="0">
      <text>
        <r>
          <rPr>
            <sz val="10"/>
            <rFont val="Arial"/>
            <family val="2"/>
          </rPr>
          <t xml:space="preserve">To fill in: SIM result from the 3D phase-field cycle.</t>
        </r>
      </text>
    </comment>
    <comment ref="L1" authorId="0">
      <text>
        <r>
          <rPr>
            <sz val="10"/>
            <rFont val="Arial"/>
            <family val="2"/>
          </rPr>
          <t xml:space="preserve">Shanghai ML prediction, from the set CSV, unrounded. Units not stated in the source file.</t>
        </r>
      </text>
    </comment>
    <comment ref="O1" authorId="0">
      <text>
        <r>
          <rPr>
            <sz val="10"/>
            <rFont val="Arial"/>
            <family val="2"/>
          </rPr>
          <t xml:space="preserve">Shanghai ML prediction, from the set CSV, unrounded. Units not stated in the source file.</t>
        </r>
      </text>
    </comment>
    <comment ref="R1" authorId="0">
      <text>
        <r>
          <rPr>
            <sz val="10"/>
            <rFont val="Arial"/>
            <family val="2"/>
          </rPr>
          <t xml:space="preserve">Shanghai ML prediction, from the set CSV, unrounded. Units not stated in the source file.</t>
        </r>
      </text>
    </comment>
    <comment ref="T1" authorId="0">
      <text>
        <r>
          <rPr>
            <sz val="10"/>
            <rFont val="Arial"/>
            <family val="2"/>
          </rPr>
          <t xml:space="preserve">= ML loop area / SIM loop area. Blank until the SIM loop area is filled in.</t>
        </r>
      </text>
    </comment>
    <comment ref="U1" authorId="0">
      <text>
        <r>
          <rPr>
            <sz val="10"/>
            <rFont val="Arial"/>
            <family val="2"/>
          </rPr>
          <t xml:space="preserve">Rank of ML loop area minus rank of SIM loop area, both ascending within the 10 points of the set. Shown only once all 10 SIM loop areas are filled in. Reverse-engineered from Aum's 2D sweep sample (matches all 10 rows).</t>
        </r>
      </text>
    </comment>
    <comment ref="Z1" authorId="0">
      <text>
        <r>
          <rPr>
            <sz val="10"/>
            <rFont val="Arial"/>
            <family val="2"/>
          </rPr>
          <t xml:space="preserve">Inferred from sine.m / write_vtk (set2_pt7.vtk). Edit if your file names differ.</t>
        </r>
      </text>
    </comment>
  </commentList>
</comments>
</file>

<file path=xl/sharedStrings.xml><?xml version="1.0" encoding="utf-8"?>
<sst xmlns="http://schemas.openxmlformats.org/spreadsheetml/2006/main" count="102" uniqueCount="64">
  <si>
    <t xml:space="preserve">Point</t>
  </si>
  <si>
    <t xml:space="preserve">CM render</t>
  </si>
  <si>
    <t xml:space="preserve">avg ⟨c⟩ (%)</t>
  </si>
  <si>
    <t xml:space="preserve">λ (nm)</t>
  </si>
  <si>
    <t xml:space="preserve">amp (±%)</t>
  </si>
  <si>
    <t xml:space="preserve">c min (%)</t>
  </si>
  <si>
    <t xml:space="preserve">c max (%)</t>
  </si>
  <si>
    <t xml:space="preserve">ML V1 stress</t>
  </si>
  <si>
    <t xml:space="preserve">SIM V1 stress</t>
  </si>
  <si>
    <t xml:space="preserve">Δ V1</t>
  </si>
  <si>
    <t xml:space="preserve">ML V3 stress</t>
  </si>
  <si>
    <t xml:space="preserve">SIM V3 stress</t>
  </si>
  <si>
    <t xml:space="preserve">Δ V3</t>
  </si>
  <si>
    <t xml:space="preserve">ML strain range</t>
  </si>
  <si>
    <t xml:space="preserve">SIM strain range</t>
  </si>
  <si>
    <t xml:space="preserve">Δ strain (pp)</t>
  </si>
  <si>
    <t xml:space="preserve">ML loop area</t>
  </si>
  <si>
    <t xml:space="preserve">SIM loop area</t>
  </si>
  <si>
    <t xml:space="preserve">ML/SIM loop ratio</t>
  </si>
  <si>
    <t xml:space="preserve">loop rank Δ</t>
  </si>
  <si>
    <t xml:space="preserve">SIM max vf</t>
  </si>
  <si>
    <t xml:space="preserve">SIM cliff Δvf</t>
  </si>
  <si>
    <t xml:space="preserve">SIM residual strain</t>
  </si>
  <si>
    <t xml:space="preserve">SIM notes</t>
  </si>
  <si>
    <t xml:space="preserve">CM field (.vtk)</t>
  </si>
  <si>
    <t xml:space="preserve">CM sweep, Sets 1 and 2: notes, assumptions and legend</t>
  </si>
  <si>
    <t xml:space="preserve">Layout follows Aum's 2D sweep sheet. ML columns, avg/λ/amp and renders are filled in; SIM columns are blank until the 3D results are added.</t>
  </si>
  <si>
    <t xml:space="preserve">Parameters (edit here)</t>
  </si>
  <si>
    <t xml:space="preserve">Set 1 domain length L (nm)</t>
  </si>
  <si>
    <t xml:space="preserve">Assumption: taken from the 'waves / 640 nm' column header in Aum's 2D sweep sheet. Confirm for the 3D set 1 runs.</t>
  </si>
  <si>
    <t xml:space="preserve">Set 2 domain length L (nm)</t>
  </si>
  <si>
    <t xml:space="preserve">Assumption: sine.m uses Ny = 1280 grid points along y (1 nm spacing assumed) for set2_pt7. Confirm it is the same for all 10 set 2 points.</t>
  </si>
  <si>
    <t xml:space="preserve">Legend</t>
  </si>
  <si>
    <t xml:space="preserve">Blue text</t>
  </si>
  <si>
    <t xml:space="preserve">Hardcoded input (Shanghai ML values, avg, λ, amp, or a value you type in).</t>
  </si>
  <si>
    <t xml:space="preserve">Black text, grey fill</t>
  </si>
  <si>
    <t xml:space="preserve">Formula. Do not overwrite.</t>
  </si>
  <si>
    <t xml:space="preserve">Blue text, yellow fill</t>
  </si>
  <si>
    <t xml:space="preserve">Cell to fill in: the SIM columns. Everything that depends on them (Δ columns, loop ratio, loop rank Δ) fills itself in.</t>
  </si>
  <si>
    <t xml:space="preserve">Column definitions</t>
  </si>
  <si>
    <t xml:space="preserve">avg, λ, amp</t>
  </si>
  <si>
    <t xml:space="preserve">From set1.csv / set2.csv (Shanghai ML inputs). Float noise removed: 50.99999999999994 → 51.00, 0.39999999999999997 → 0.40, 0.6000000000000001 → 0.60.</t>
  </si>
  <si>
    <t xml:space="preserve">waves / L nm</t>
  </si>
  <si>
    <t xml:space="preserve">L ÷ λ, with L from the parameters above.</t>
  </si>
  <si>
    <t xml:space="preserve">c min, c max</t>
  </si>
  <si>
    <t xml:space="preserve">avg ∓ amp when the domain holds enough of a wave to reach the peak/trough, otherwise the sine value at the end of the domain. Closed-form estimate of the field built in sine.m (c = avg + amp·sin(2πy/λ)). For set 1 point 2 (960 nm in 640 nm, 0.67 waves) this gives c min = 50.550; Aum's sheet lists 50.558. The 0.008 difference is probably grid sampling; every other point matches.</t>
  </si>
  <si>
    <t xml:space="preserve">ML V1 / V3 stress, strain range, loop area</t>
  </si>
  <si>
    <t xml:space="preserve">Shanghai ML predictions, copied unrounded from the CSVs. Units are not stated in the source files.</t>
  </si>
  <si>
    <t xml:space="preserve">SIM columns</t>
  </si>
  <si>
    <t xml:space="preserve">Blank. To be filled from the 3D phase-field cycles. Exact definitions (V1/V3 transformation stress, loop area, max vf, cliff Δvf, residual strain) to be confirmed against the post-processing scripts.</t>
  </si>
  <si>
    <t xml:space="preserve">Δ V1, Δ V3, Δ strain (pp)</t>
  </si>
  <si>
    <t xml:space="preserve">SIM − ML. Blank until the SIM value is filled in. (Check against Aum's sample: 572 − 1421 = −850 after rounding.)</t>
  </si>
  <si>
    <t xml:space="preserve">ML loop area ÷ SIM loop area.</t>
  </si>
  <si>
    <t xml:space="preserve">Rank of ML loop area minus rank of SIM loop area, both ascending within the 10 points of the set. Shown only when all 10 SIM loop areas are filled in. Reverse-engineered from Aum's sample, where it reproduces all 10 values.</t>
  </si>
  <si>
    <t xml:space="preserve">set&lt;N&gt;_pt&lt;point&gt;.vtk, inferred from the write_vtk call in sine.m ('set2_pt7.vtk'). Aum's sheet uses a longer path pattern.</t>
  </si>
  <si>
    <t xml:space="preserve">ParaView renders from VTK_Field_Report.xlsx, one per point. They appear to be auto-scaled to each field's own range, so amplitude differences between points are not visible.</t>
  </si>
  <si>
    <t xml:space="preserve">Format example for the SIM columns (illustrative only)</t>
  </si>
  <si>
    <t xml:space="preserve">Source of the example values</t>
  </si>
  <si>
    <t xml:space="preserve">Aum's 2D sweep sheet, set 1 point 1. Shown only so you can see the expected number format; it is not entered in the Set 1 sheet.</t>
  </si>
  <si>
    <t xml:space="preserve">Open items</t>
  </si>
  <si>
    <t xml:space="preserve">•</t>
  </si>
  <si>
    <t xml:space="preserve">Report 2: the whole of set 1 is being re-run at about triple the stress resolution, so set 1 SIM values will change once that finishes.</t>
  </si>
  <si>
    <t xml:space="preserve">Report 2: set 2 will need its own load steps (its 0.04% amplitude point is close to a uniform composition).</t>
  </si>
  <si>
    <t xml:space="preserve">Confirm the domain lengths above and the .vtk naming.</t>
  </si>
</sst>
</file>

<file path=xl/styles.xml><?xml version="1.0" encoding="utf-8"?>
<styleSheet xmlns="http://schemas.openxmlformats.org/spreadsheetml/2006/main">
  <numFmts count="8">
    <numFmt numFmtId="164" formatCode="General"/>
    <numFmt numFmtId="165" formatCode="0"/>
    <numFmt numFmtId="166" formatCode="0.00"/>
    <numFmt numFmtId="167" formatCode="0.000"/>
    <numFmt numFmtId="168" formatCode="0.0"/>
    <numFmt numFmtId="169" formatCode="\+0;\-0;\+0"/>
    <numFmt numFmtId="170" formatCode="0.000000"/>
    <numFmt numFmtId="171" formatCode="@"/>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0000FF"/>
      <name val="Arial"/>
      <family val="0"/>
      <charset val="1"/>
    </font>
    <font>
      <sz val="10"/>
      <color rgb="FF000000"/>
      <name val="Arial"/>
      <family val="0"/>
      <charset val="1"/>
    </font>
    <font>
      <sz val="10"/>
      <name val="Arial"/>
      <family val="2"/>
    </font>
    <font>
      <b val="true"/>
      <sz val="12"/>
      <name val="Arial"/>
      <family val="0"/>
      <charset val="1"/>
    </font>
    <font>
      <b val="true"/>
      <sz val="10"/>
      <color rgb="FF0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xf numFmtId="167" fontId="6" fillId="3" borderId="1" xfId="0" applyFont="true" applyBorder="true" applyAlignment="true" applyProtection="false">
      <alignment horizontal="center" vertical="center" textRotation="0" wrapText="fals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6" fontId="5" fillId="4" borderId="1" xfId="0" applyFont="true" applyBorder="true" applyAlignment="true" applyProtection="false">
      <alignment horizontal="center" vertical="center" textRotation="0" wrapText="false" indent="0" shrinkToFit="false"/>
      <protection locked="true" hidden="false"/>
    </xf>
    <xf numFmtId="168" fontId="5" fillId="0" borderId="1" xfId="0" applyFont="true" applyBorder="true" applyAlignment="true" applyProtection="false">
      <alignment horizontal="center" vertical="center" textRotation="0" wrapText="false" indent="0" shrinkToFit="false"/>
      <protection locked="true" hidden="false"/>
    </xf>
    <xf numFmtId="168" fontId="6" fillId="3" borderId="1" xfId="0" applyFont="true" applyBorder="true" applyAlignment="true" applyProtection="false">
      <alignment horizontal="center" vertical="center" textRotation="0" wrapText="false" indent="0" shrinkToFit="false"/>
      <protection locked="true" hidden="false"/>
    </xf>
    <xf numFmtId="169" fontId="6" fillId="3" borderId="1" xfId="0" applyFont="true" applyBorder="true" applyAlignment="true" applyProtection="false">
      <alignment horizontal="center" vertical="center" textRotation="0" wrapText="false" indent="0" shrinkToFit="false"/>
      <protection locked="true" hidden="false"/>
    </xf>
    <xf numFmtId="167" fontId="5" fillId="4" borderId="1" xfId="0" applyFont="true" applyBorder="true" applyAlignment="true" applyProtection="false">
      <alignment horizontal="center" vertical="center" textRotation="0" wrapText="false" indent="0" shrinkToFit="false"/>
      <protection locked="true" hidden="false"/>
    </xf>
    <xf numFmtId="170" fontId="5" fillId="4" borderId="1" xfId="0" applyFont="true" applyBorder="true" applyAlignment="true" applyProtection="false">
      <alignment horizontal="center" vertical="center" textRotation="0" wrapText="false" indent="0" shrinkToFit="false"/>
      <protection locked="true" hidden="false"/>
    </xf>
    <xf numFmtId="171" fontId="5" fillId="4" borderId="1" xfId="0" applyFont="true" applyBorder="true" applyAlignment="true" applyProtection="false">
      <alignment horizontal="center" vertical="center" textRotation="0" wrapText="true" indent="0" shrinkToFit="false"/>
      <protection locked="true" hidden="false"/>
    </xf>
    <xf numFmtId="171" fontId="6" fillId="3"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5" fontId="5" fillId="4"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5" fillId="4"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5" fontId="5" fillId="0" borderId="0" xfId="0" applyFont="true" applyBorder="false" applyAlignment="true" applyProtection="false">
      <alignment horizontal="center" vertical="top" textRotation="0" wrapText="true" indent="0" shrinkToFit="false"/>
      <protection locked="true" hidden="false"/>
    </xf>
    <xf numFmtId="166" fontId="5" fillId="0" borderId="0" xfId="0" applyFont="true" applyBorder="false" applyAlignment="true" applyProtection="false">
      <alignment horizontal="center" vertical="top" textRotation="0" wrapText="true" indent="0" shrinkToFit="false"/>
      <protection locked="true" hidden="false"/>
    </xf>
    <xf numFmtId="167" fontId="5" fillId="0" borderId="0" xfId="0" applyFont="true" applyBorder="false" applyAlignment="true" applyProtection="false">
      <alignment horizontal="center" vertical="top" textRotation="0" wrapText="true" indent="0" shrinkToFit="false"/>
      <protection locked="true" hidden="false"/>
    </xf>
    <xf numFmtId="170" fontId="5"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
</Relationships>
</file>

<file path=xl/drawings/_rels/drawing2.xml.rels><?xml version="1.0" encoding="UTF-8"?>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 Id="rId6" Type="http://schemas.openxmlformats.org/officeDocument/2006/relationships/image" Target="../media/image16.png"/><Relationship Id="rId7" Type="http://schemas.openxmlformats.org/officeDocument/2006/relationships/image" Target="../media/image17.png"/><Relationship Id="rId8" Type="http://schemas.openxmlformats.org/officeDocument/2006/relationships/image" Target="../media/image18.png"/><Relationship Id="rId9" Type="http://schemas.openxmlformats.org/officeDocument/2006/relationships/image" Target="../media/image19.png"/><Relationship Id="rId10" Type="http://schemas.openxmlformats.org/officeDocument/2006/relationships/image" Target="../media/image2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133200</xdr:colOff>
      <xdr:row>1</xdr:row>
      <xdr:rowOff>19080</xdr:rowOff>
    </xdr:from>
    <xdr:to>
      <xdr:col>1</xdr:col>
      <xdr:colOff>1513800</xdr:colOff>
      <xdr:row>1</xdr:row>
      <xdr:rowOff>1399680</xdr:rowOff>
    </xdr:to>
    <xdr:pic>
      <xdr:nvPicPr>
        <xdr:cNvPr id="0" name="Image 1" descr="Picture"/>
        <xdr:cNvPicPr/>
      </xdr:nvPicPr>
      <xdr:blipFill>
        <a:blip r:embed="rId1"/>
        <a:stretch/>
      </xdr:blipFill>
      <xdr:spPr>
        <a:xfrm>
          <a:off x="626760" y="552600"/>
          <a:ext cx="1380600" cy="1380600"/>
        </a:xfrm>
        <a:prstGeom prst="rect">
          <a:avLst/>
        </a:prstGeom>
        <a:ln w="0">
          <a:noFill/>
        </a:ln>
      </xdr:spPr>
    </xdr:pic>
    <xdr:clientData/>
  </xdr:twoCellAnchor>
  <xdr:twoCellAnchor editAs="oneCell">
    <xdr:from>
      <xdr:col>1</xdr:col>
      <xdr:colOff>133200</xdr:colOff>
      <xdr:row>2</xdr:row>
      <xdr:rowOff>19080</xdr:rowOff>
    </xdr:from>
    <xdr:to>
      <xdr:col>1</xdr:col>
      <xdr:colOff>1513800</xdr:colOff>
      <xdr:row>2</xdr:row>
      <xdr:rowOff>1399680</xdr:rowOff>
    </xdr:to>
    <xdr:pic>
      <xdr:nvPicPr>
        <xdr:cNvPr id="1" name="Image 2" descr="Picture"/>
        <xdr:cNvPicPr/>
      </xdr:nvPicPr>
      <xdr:blipFill>
        <a:blip r:embed="rId2"/>
        <a:stretch/>
      </xdr:blipFill>
      <xdr:spPr>
        <a:xfrm>
          <a:off x="626760" y="1971720"/>
          <a:ext cx="1380600" cy="1380600"/>
        </a:xfrm>
        <a:prstGeom prst="rect">
          <a:avLst/>
        </a:prstGeom>
        <a:ln w="0">
          <a:noFill/>
        </a:ln>
      </xdr:spPr>
    </xdr:pic>
    <xdr:clientData/>
  </xdr:twoCellAnchor>
  <xdr:twoCellAnchor editAs="oneCell">
    <xdr:from>
      <xdr:col>1</xdr:col>
      <xdr:colOff>133200</xdr:colOff>
      <xdr:row>3</xdr:row>
      <xdr:rowOff>19080</xdr:rowOff>
    </xdr:from>
    <xdr:to>
      <xdr:col>1</xdr:col>
      <xdr:colOff>1513800</xdr:colOff>
      <xdr:row>3</xdr:row>
      <xdr:rowOff>1399680</xdr:rowOff>
    </xdr:to>
    <xdr:pic>
      <xdr:nvPicPr>
        <xdr:cNvPr id="2" name="Image 3" descr="Picture"/>
        <xdr:cNvPicPr/>
      </xdr:nvPicPr>
      <xdr:blipFill>
        <a:blip r:embed="rId3"/>
        <a:stretch/>
      </xdr:blipFill>
      <xdr:spPr>
        <a:xfrm>
          <a:off x="626760" y="3390840"/>
          <a:ext cx="1380600" cy="1380600"/>
        </a:xfrm>
        <a:prstGeom prst="rect">
          <a:avLst/>
        </a:prstGeom>
        <a:ln w="0">
          <a:noFill/>
        </a:ln>
      </xdr:spPr>
    </xdr:pic>
    <xdr:clientData/>
  </xdr:twoCellAnchor>
  <xdr:twoCellAnchor editAs="oneCell">
    <xdr:from>
      <xdr:col>1</xdr:col>
      <xdr:colOff>133200</xdr:colOff>
      <xdr:row>4</xdr:row>
      <xdr:rowOff>19080</xdr:rowOff>
    </xdr:from>
    <xdr:to>
      <xdr:col>1</xdr:col>
      <xdr:colOff>1513800</xdr:colOff>
      <xdr:row>4</xdr:row>
      <xdr:rowOff>1399680</xdr:rowOff>
    </xdr:to>
    <xdr:pic>
      <xdr:nvPicPr>
        <xdr:cNvPr id="3" name="Image 4" descr="Picture"/>
        <xdr:cNvPicPr/>
      </xdr:nvPicPr>
      <xdr:blipFill>
        <a:blip r:embed="rId4"/>
        <a:stretch/>
      </xdr:blipFill>
      <xdr:spPr>
        <a:xfrm>
          <a:off x="626760" y="4810320"/>
          <a:ext cx="1380600" cy="1380600"/>
        </a:xfrm>
        <a:prstGeom prst="rect">
          <a:avLst/>
        </a:prstGeom>
        <a:ln w="0">
          <a:noFill/>
        </a:ln>
      </xdr:spPr>
    </xdr:pic>
    <xdr:clientData/>
  </xdr:twoCellAnchor>
  <xdr:twoCellAnchor editAs="oneCell">
    <xdr:from>
      <xdr:col>1</xdr:col>
      <xdr:colOff>133200</xdr:colOff>
      <xdr:row>5</xdr:row>
      <xdr:rowOff>19080</xdr:rowOff>
    </xdr:from>
    <xdr:to>
      <xdr:col>1</xdr:col>
      <xdr:colOff>1513800</xdr:colOff>
      <xdr:row>5</xdr:row>
      <xdr:rowOff>1399680</xdr:rowOff>
    </xdr:to>
    <xdr:pic>
      <xdr:nvPicPr>
        <xdr:cNvPr id="4" name="Image 5" descr="Picture"/>
        <xdr:cNvPicPr/>
      </xdr:nvPicPr>
      <xdr:blipFill>
        <a:blip r:embed="rId5"/>
        <a:stretch/>
      </xdr:blipFill>
      <xdr:spPr>
        <a:xfrm>
          <a:off x="626760" y="6229440"/>
          <a:ext cx="1380600" cy="1380600"/>
        </a:xfrm>
        <a:prstGeom prst="rect">
          <a:avLst/>
        </a:prstGeom>
        <a:ln w="0">
          <a:noFill/>
        </a:ln>
      </xdr:spPr>
    </xdr:pic>
    <xdr:clientData/>
  </xdr:twoCellAnchor>
  <xdr:twoCellAnchor editAs="oneCell">
    <xdr:from>
      <xdr:col>1</xdr:col>
      <xdr:colOff>133200</xdr:colOff>
      <xdr:row>6</xdr:row>
      <xdr:rowOff>19080</xdr:rowOff>
    </xdr:from>
    <xdr:to>
      <xdr:col>1</xdr:col>
      <xdr:colOff>1513800</xdr:colOff>
      <xdr:row>6</xdr:row>
      <xdr:rowOff>1399680</xdr:rowOff>
    </xdr:to>
    <xdr:pic>
      <xdr:nvPicPr>
        <xdr:cNvPr id="5" name="Image 6" descr="Picture"/>
        <xdr:cNvPicPr/>
      </xdr:nvPicPr>
      <xdr:blipFill>
        <a:blip r:embed="rId6"/>
        <a:stretch/>
      </xdr:blipFill>
      <xdr:spPr>
        <a:xfrm>
          <a:off x="626760" y="7648560"/>
          <a:ext cx="1380600" cy="1380600"/>
        </a:xfrm>
        <a:prstGeom prst="rect">
          <a:avLst/>
        </a:prstGeom>
        <a:ln w="0">
          <a:noFill/>
        </a:ln>
      </xdr:spPr>
    </xdr:pic>
    <xdr:clientData/>
  </xdr:twoCellAnchor>
  <xdr:twoCellAnchor editAs="oneCell">
    <xdr:from>
      <xdr:col>1</xdr:col>
      <xdr:colOff>133200</xdr:colOff>
      <xdr:row>7</xdr:row>
      <xdr:rowOff>19080</xdr:rowOff>
    </xdr:from>
    <xdr:to>
      <xdr:col>1</xdr:col>
      <xdr:colOff>1513800</xdr:colOff>
      <xdr:row>7</xdr:row>
      <xdr:rowOff>1399680</xdr:rowOff>
    </xdr:to>
    <xdr:pic>
      <xdr:nvPicPr>
        <xdr:cNvPr id="6" name="Image 7" descr="Picture"/>
        <xdr:cNvPicPr/>
      </xdr:nvPicPr>
      <xdr:blipFill>
        <a:blip r:embed="rId7"/>
        <a:stretch/>
      </xdr:blipFill>
      <xdr:spPr>
        <a:xfrm>
          <a:off x="626760" y="9067680"/>
          <a:ext cx="1380600" cy="1380600"/>
        </a:xfrm>
        <a:prstGeom prst="rect">
          <a:avLst/>
        </a:prstGeom>
        <a:ln w="0">
          <a:noFill/>
        </a:ln>
      </xdr:spPr>
    </xdr:pic>
    <xdr:clientData/>
  </xdr:twoCellAnchor>
  <xdr:twoCellAnchor editAs="oneCell">
    <xdr:from>
      <xdr:col>1</xdr:col>
      <xdr:colOff>133200</xdr:colOff>
      <xdr:row>8</xdr:row>
      <xdr:rowOff>19080</xdr:rowOff>
    </xdr:from>
    <xdr:to>
      <xdr:col>1</xdr:col>
      <xdr:colOff>1513800</xdr:colOff>
      <xdr:row>8</xdr:row>
      <xdr:rowOff>1399680</xdr:rowOff>
    </xdr:to>
    <xdr:pic>
      <xdr:nvPicPr>
        <xdr:cNvPr id="7" name="Image 8" descr="Picture"/>
        <xdr:cNvPicPr/>
      </xdr:nvPicPr>
      <xdr:blipFill>
        <a:blip r:embed="rId8"/>
        <a:stretch/>
      </xdr:blipFill>
      <xdr:spPr>
        <a:xfrm>
          <a:off x="626760" y="10487160"/>
          <a:ext cx="1380600" cy="1380600"/>
        </a:xfrm>
        <a:prstGeom prst="rect">
          <a:avLst/>
        </a:prstGeom>
        <a:ln w="0">
          <a:noFill/>
        </a:ln>
      </xdr:spPr>
    </xdr:pic>
    <xdr:clientData/>
  </xdr:twoCellAnchor>
  <xdr:twoCellAnchor editAs="oneCell">
    <xdr:from>
      <xdr:col>1</xdr:col>
      <xdr:colOff>133200</xdr:colOff>
      <xdr:row>9</xdr:row>
      <xdr:rowOff>19080</xdr:rowOff>
    </xdr:from>
    <xdr:to>
      <xdr:col>1</xdr:col>
      <xdr:colOff>1513800</xdr:colOff>
      <xdr:row>9</xdr:row>
      <xdr:rowOff>1399680</xdr:rowOff>
    </xdr:to>
    <xdr:pic>
      <xdr:nvPicPr>
        <xdr:cNvPr id="8" name="Image 9" descr="Picture"/>
        <xdr:cNvPicPr/>
      </xdr:nvPicPr>
      <xdr:blipFill>
        <a:blip r:embed="rId9"/>
        <a:stretch/>
      </xdr:blipFill>
      <xdr:spPr>
        <a:xfrm>
          <a:off x="626760" y="11906280"/>
          <a:ext cx="1380600" cy="1380600"/>
        </a:xfrm>
        <a:prstGeom prst="rect">
          <a:avLst/>
        </a:prstGeom>
        <a:ln w="0">
          <a:noFill/>
        </a:ln>
      </xdr:spPr>
    </xdr:pic>
    <xdr:clientData/>
  </xdr:twoCellAnchor>
  <xdr:twoCellAnchor editAs="oneCell">
    <xdr:from>
      <xdr:col>1</xdr:col>
      <xdr:colOff>133200</xdr:colOff>
      <xdr:row>10</xdr:row>
      <xdr:rowOff>19080</xdr:rowOff>
    </xdr:from>
    <xdr:to>
      <xdr:col>1</xdr:col>
      <xdr:colOff>1513800</xdr:colOff>
      <xdr:row>10</xdr:row>
      <xdr:rowOff>1399680</xdr:rowOff>
    </xdr:to>
    <xdr:pic>
      <xdr:nvPicPr>
        <xdr:cNvPr id="9" name="Image 10" descr="Picture"/>
        <xdr:cNvPicPr/>
      </xdr:nvPicPr>
      <xdr:blipFill>
        <a:blip r:embed="rId10"/>
        <a:stretch/>
      </xdr:blipFill>
      <xdr:spPr>
        <a:xfrm>
          <a:off x="626760" y="13325400"/>
          <a:ext cx="1380600" cy="1380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133200</xdr:colOff>
      <xdr:row>1</xdr:row>
      <xdr:rowOff>19080</xdr:rowOff>
    </xdr:from>
    <xdr:to>
      <xdr:col>1</xdr:col>
      <xdr:colOff>1513800</xdr:colOff>
      <xdr:row>1</xdr:row>
      <xdr:rowOff>1399680</xdr:rowOff>
    </xdr:to>
    <xdr:pic>
      <xdr:nvPicPr>
        <xdr:cNvPr id="10" name="Image 1" descr="Picture"/>
        <xdr:cNvPicPr/>
      </xdr:nvPicPr>
      <xdr:blipFill>
        <a:blip r:embed="rId1"/>
        <a:stretch/>
      </xdr:blipFill>
      <xdr:spPr>
        <a:xfrm>
          <a:off x="626760" y="552600"/>
          <a:ext cx="1380600" cy="1380600"/>
        </a:xfrm>
        <a:prstGeom prst="rect">
          <a:avLst/>
        </a:prstGeom>
        <a:ln w="0">
          <a:noFill/>
        </a:ln>
      </xdr:spPr>
    </xdr:pic>
    <xdr:clientData/>
  </xdr:twoCellAnchor>
  <xdr:twoCellAnchor editAs="oneCell">
    <xdr:from>
      <xdr:col>1</xdr:col>
      <xdr:colOff>133200</xdr:colOff>
      <xdr:row>2</xdr:row>
      <xdr:rowOff>19080</xdr:rowOff>
    </xdr:from>
    <xdr:to>
      <xdr:col>1</xdr:col>
      <xdr:colOff>1513800</xdr:colOff>
      <xdr:row>2</xdr:row>
      <xdr:rowOff>1399680</xdr:rowOff>
    </xdr:to>
    <xdr:pic>
      <xdr:nvPicPr>
        <xdr:cNvPr id="11" name="Image 2" descr="Picture"/>
        <xdr:cNvPicPr/>
      </xdr:nvPicPr>
      <xdr:blipFill>
        <a:blip r:embed="rId2"/>
        <a:stretch/>
      </xdr:blipFill>
      <xdr:spPr>
        <a:xfrm>
          <a:off x="626760" y="1971720"/>
          <a:ext cx="1380600" cy="1380600"/>
        </a:xfrm>
        <a:prstGeom prst="rect">
          <a:avLst/>
        </a:prstGeom>
        <a:ln w="0">
          <a:noFill/>
        </a:ln>
      </xdr:spPr>
    </xdr:pic>
    <xdr:clientData/>
  </xdr:twoCellAnchor>
  <xdr:twoCellAnchor editAs="oneCell">
    <xdr:from>
      <xdr:col>1</xdr:col>
      <xdr:colOff>133200</xdr:colOff>
      <xdr:row>3</xdr:row>
      <xdr:rowOff>19080</xdr:rowOff>
    </xdr:from>
    <xdr:to>
      <xdr:col>1</xdr:col>
      <xdr:colOff>1513800</xdr:colOff>
      <xdr:row>3</xdr:row>
      <xdr:rowOff>1399680</xdr:rowOff>
    </xdr:to>
    <xdr:pic>
      <xdr:nvPicPr>
        <xdr:cNvPr id="12" name="Image 3" descr="Picture"/>
        <xdr:cNvPicPr/>
      </xdr:nvPicPr>
      <xdr:blipFill>
        <a:blip r:embed="rId3"/>
        <a:stretch/>
      </xdr:blipFill>
      <xdr:spPr>
        <a:xfrm>
          <a:off x="626760" y="3390840"/>
          <a:ext cx="1380600" cy="1380600"/>
        </a:xfrm>
        <a:prstGeom prst="rect">
          <a:avLst/>
        </a:prstGeom>
        <a:ln w="0">
          <a:noFill/>
        </a:ln>
      </xdr:spPr>
    </xdr:pic>
    <xdr:clientData/>
  </xdr:twoCellAnchor>
  <xdr:twoCellAnchor editAs="oneCell">
    <xdr:from>
      <xdr:col>1</xdr:col>
      <xdr:colOff>133200</xdr:colOff>
      <xdr:row>4</xdr:row>
      <xdr:rowOff>19080</xdr:rowOff>
    </xdr:from>
    <xdr:to>
      <xdr:col>1</xdr:col>
      <xdr:colOff>1513800</xdr:colOff>
      <xdr:row>4</xdr:row>
      <xdr:rowOff>1399680</xdr:rowOff>
    </xdr:to>
    <xdr:pic>
      <xdr:nvPicPr>
        <xdr:cNvPr id="13" name="Image 4" descr="Picture"/>
        <xdr:cNvPicPr/>
      </xdr:nvPicPr>
      <xdr:blipFill>
        <a:blip r:embed="rId4"/>
        <a:stretch/>
      </xdr:blipFill>
      <xdr:spPr>
        <a:xfrm>
          <a:off x="626760" y="4810320"/>
          <a:ext cx="1380600" cy="1380600"/>
        </a:xfrm>
        <a:prstGeom prst="rect">
          <a:avLst/>
        </a:prstGeom>
        <a:ln w="0">
          <a:noFill/>
        </a:ln>
      </xdr:spPr>
    </xdr:pic>
    <xdr:clientData/>
  </xdr:twoCellAnchor>
  <xdr:twoCellAnchor editAs="oneCell">
    <xdr:from>
      <xdr:col>1</xdr:col>
      <xdr:colOff>133200</xdr:colOff>
      <xdr:row>5</xdr:row>
      <xdr:rowOff>19080</xdr:rowOff>
    </xdr:from>
    <xdr:to>
      <xdr:col>1</xdr:col>
      <xdr:colOff>1513800</xdr:colOff>
      <xdr:row>5</xdr:row>
      <xdr:rowOff>1399680</xdr:rowOff>
    </xdr:to>
    <xdr:pic>
      <xdr:nvPicPr>
        <xdr:cNvPr id="14" name="Image 5" descr="Picture"/>
        <xdr:cNvPicPr/>
      </xdr:nvPicPr>
      <xdr:blipFill>
        <a:blip r:embed="rId5"/>
        <a:stretch/>
      </xdr:blipFill>
      <xdr:spPr>
        <a:xfrm>
          <a:off x="626760" y="6229440"/>
          <a:ext cx="1380600" cy="1380600"/>
        </a:xfrm>
        <a:prstGeom prst="rect">
          <a:avLst/>
        </a:prstGeom>
        <a:ln w="0">
          <a:noFill/>
        </a:ln>
      </xdr:spPr>
    </xdr:pic>
    <xdr:clientData/>
  </xdr:twoCellAnchor>
  <xdr:twoCellAnchor editAs="oneCell">
    <xdr:from>
      <xdr:col>1</xdr:col>
      <xdr:colOff>133200</xdr:colOff>
      <xdr:row>6</xdr:row>
      <xdr:rowOff>19080</xdr:rowOff>
    </xdr:from>
    <xdr:to>
      <xdr:col>1</xdr:col>
      <xdr:colOff>1513800</xdr:colOff>
      <xdr:row>6</xdr:row>
      <xdr:rowOff>1399680</xdr:rowOff>
    </xdr:to>
    <xdr:pic>
      <xdr:nvPicPr>
        <xdr:cNvPr id="15" name="Image 6" descr="Picture"/>
        <xdr:cNvPicPr/>
      </xdr:nvPicPr>
      <xdr:blipFill>
        <a:blip r:embed="rId6"/>
        <a:stretch/>
      </xdr:blipFill>
      <xdr:spPr>
        <a:xfrm>
          <a:off x="626760" y="7648560"/>
          <a:ext cx="1380600" cy="1380600"/>
        </a:xfrm>
        <a:prstGeom prst="rect">
          <a:avLst/>
        </a:prstGeom>
        <a:ln w="0">
          <a:noFill/>
        </a:ln>
      </xdr:spPr>
    </xdr:pic>
    <xdr:clientData/>
  </xdr:twoCellAnchor>
  <xdr:twoCellAnchor editAs="oneCell">
    <xdr:from>
      <xdr:col>1</xdr:col>
      <xdr:colOff>133200</xdr:colOff>
      <xdr:row>7</xdr:row>
      <xdr:rowOff>19080</xdr:rowOff>
    </xdr:from>
    <xdr:to>
      <xdr:col>1</xdr:col>
      <xdr:colOff>1513800</xdr:colOff>
      <xdr:row>7</xdr:row>
      <xdr:rowOff>1399680</xdr:rowOff>
    </xdr:to>
    <xdr:pic>
      <xdr:nvPicPr>
        <xdr:cNvPr id="16" name="Image 7" descr="Picture"/>
        <xdr:cNvPicPr/>
      </xdr:nvPicPr>
      <xdr:blipFill>
        <a:blip r:embed="rId7"/>
        <a:stretch/>
      </xdr:blipFill>
      <xdr:spPr>
        <a:xfrm>
          <a:off x="626760" y="9067680"/>
          <a:ext cx="1380600" cy="1380600"/>
        </a:xfrm>
        <a:prstGeom prst="rect">
          <a:avLst/>
        </a:prstGeom>
        <a:ln w="0">
          <a:noFill/>
        </a:ln>
      </xdr:spPr>
    </xdr:pic>
    <xdr:clientData/>
  </xdr:twoCellAnchor>
  <xdr:twoCellAnchor editAs="oneCell">
    <xdr:from>
      <xdr:col>1</xdr:col>
      <xdr:colOff>133200</xdr:colOff>
      <xdr:row>8</xdr:row>
      <xdr:rowOff>19080</xdr:rowOff>
    </xdr:from>
    <xdr:to>
      <xdr:col>1</xdr:col>
      <xdr:colOff>1513800</xdr:colOff>
      <xdr:row>8</xdr:row>
      <xdr:rowOff>1399680</xdr:rowOff>
    </xdr:to>
    <xdr:pic>
      <xdr:nvPicPr>
        <xdr:cNvPr id="17" name="Image 8" descr="Picture"/>
        <xdr:cNvPicPr/>
      </xdr:nvPicPr>
      <xdr:blipFill>
        <a:blip r:embed="rId8"/>
        <a:stretch/>
      </xdr:blipFill>
      <xdr:spPr>
        <a:xfrm>
          <a:off x="626760" y="10487160"/>
          <a:ext cx="1380600" cy="1380600"/>
        </a:xfrm>
        <a:prstGeom prst="rect">
          <a:avLst/>
        </a:prstGeom>
        <a:ln w="0">
          <a:noFill/>
        </a:ln>
      </xdr:spPr>
    </xdr:pic>
    <xdr:clientData/>
  </xdr:twoCellAnchor>
  <xdr:twoCellAnchor editAs="oneCell">
    <xdr:from>
      <xdr:col>1</xdr:col>
      <xdr:colOff>133200</xdr:colOff>
      <xdr:row>9</xdr:row>
      <xdr:rowOff>19080</xdr:rowOff>
    </xdr:from>
    <xdr:to>
      <xdr:col>1</xdr:col>
      <xdr:colOff>1513800</xdr:colOff>
      <xdr:row>9</xdr:row>
      <xdr:rowOff>1399680</xdr:rowOff>
    </xdr:to>
    <xdr:pic>
      <xdr:nvPicPr>
        <xdr:cNvPr id="18" name="Image 9" descr="Picture"/>
        <xdr:cNvPicPr/>
      </xdr:nvPicPr>
      <xdr:blipFill>
        <a:blip r:embed="rId9"/>
        <a:stretch/>
      </xdr:blipFill>
      <xdr:spPr>
        <a:xfrm>
          <a:off x="626760" y="11906280"/>
          <a:ext cx="1380600" cy="1380600"/>
        </a:xfrm>
        <a:prstGeom prst="rect">
          <a:avLst/>
        </a:prstGeom>
        <a:ln w="0">
          <a:noFill/>
        </a:ln>
      </xdr:spPr>
    </xdr:pic>
    <xdr:clientData/>
  </xdr:twoCellAnchor>
  <xdr:twoCellAnchor editAs="oneCell">
    <xdr:from>
      <xdr:col>1</xdr:col>
      <xdr:colOff>133200</xdr:colOff>
      <xdr:row>10</xdr:row>
      <xdr:rowOff>19080</xdr:rowOff>
    </xdr:from>
    <xdr:to>
      <xdr:col>1</xdr:col>
      <xdr:colOff>1513800</xdr:colOff>
      <xdr:row>10</xdr:row>
      <xdr:rowOff>1399680</xdr:rowOff>
    </xdr:to>
    <xdr:pic>
      <xdr:nvPicPr>
        <xdr:cNvPr id="19" name="Image 10" descr="Picture"/>
        <xdr:cNvPicPr/>
      </xdr:nvPicPr>
      <xdr:blipFill>
        <a:blip r:embed="rId10"/>
        <a:stretch/>
      </xdr:blipFill>
      <xdr:spPr>
        <a:xfrm>
          <a:off x="626760" y="13325400"/>
          <a:ext cx="1380600" cy="13806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Z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1"/>
    <col collapsed="false" customWidth="true" hidden="false" outlineLevel="0" max="4" min="4" style="0" width="9"/>
    <col collapsed="false" customWidth="true" hidden="false" outlineLevel="0" max="5" min="5" style="0" width="13"/>
    <col collapsed="false" customWidth="true" hidden="false" outlineLevel="0" max="6" min="6" style="0" width="9"/>
    <col collapsed="false" customWidth="true" hidden="false" outlineLevel="0" max="8" min="7" style="0" width="10"/>
    <col collapsed="false" customWidth="true" hidden="false" outlineLevel="0" max="10" min="9" style="0" width="11"/>
    <col collapsed="false" customWidth="true" hidden="false" outlineLevel="0" max="11" min="11" style="0" width="9"/>
    <col collapsed="false" customWidth="true" hidden="false" outlineLevel="0" max="13" min="12" style="0" width="11"/>
    <col collapsed="false" customWidth="true" hidden="false" outlineLevel="0" max="14" min="14" style="0" width="9"/>
    <col collapsed="false" customWidth="true" hidden="false" outlineLevel="0" max="20" min="15" style="0" width="11"/>
    <col collapsed="false" customWidth="true" hidden="false" outlineLevel="0" max="21" min="21" style="0" width="9"/>
    <col collapsed="false" customWidth="true" hidden="false" outlineLevel="0" max="23" min="22" style="0" width="10"/>
    <col collapsed="false" customWidth="true" hidden="false" outlineLevel="0" max="24" min="24" style="0" width="12"/>
    <col collapsed="false" customWidth="true" hidden="false" outlineLevel="0" max="25" min="25" style="0" width="28"/>
    <col collapsed="false" customWidth="true" hidden="false" outlineLevel="0" max="26" min="26" style="0" width="18"/>
  </cols>
  <sheetData>
    <row r="1" customFormat="false" ht="42" hidden="false" customHeight="true" outlineLevel="0" collapsed="false">
      <c r="A1" s="1" t="s">
        <v>0</v>
      </c>
      <c r="B1" s="1" t="s">
        <v>1</v>
      </c>
      <c r="C1" s="1" t="s">
        <v>2</v>
      </c>
      <c r="D1" s="1" t="s">
        <v>3</v>
      </c>
      <c r="E1" s="1" t="str">
        <f aca="false">"waves / "&amp;Notes!$B$4&amp;" nm"</f>
        <v>waves / 640 nm</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customFormat="false" ht="111.75" hidden="false" customHeight="true" outlineLevel="0" collapsed="false">
      <c r="A2" s="2" t="n">
        <v>1</v>
      </c>
      <c r="B2" s="3"/>
      <c r="C2" s="4" t="n">
        <v>51</v>
      </c>
      <c r="D2" s="2" t="n">
        <v>400</v>
      </c>
      <c r="E2" s="5" t="n">
        <f aca="false">Notes!$B$4/D2</f>
        <v>1.6</v>
      </c>
      <c r="F2" s="4" t="n">
        <v>0.56</v>
      </c>
      <c r="G2" s="6" t="n">
        <f aca="false">C2+F2*IF(E2&gt;=0.75,-1,MIN(0,SIN(2*PI()*E2)))</f>
        <v>50.44</v>
      </c>
      <c r="H2" s="6" t="n">
        <f aca="false">C2+F2*IF(E2&gt;=0.25,1,SIN(2*PI()*E2))</f>
        <v>51.56</v>
      </c>
      <c r="I2" s="2" t="n">
        <v>1421.15811288509</v>
      </c>
      <c r="J2" s="7"/>
      <c r="K2" s="8" t="str">
        <f aca="false">IF(AND(ISNUMBER(J2),ISNUMBER(I2)),J2-I2,"")</f>
        <v/>
      </c>
      <c r="L2" s="2" t="n">
        <v>1746.44105539347</v>
      </c>
      <c r="M2" s="7"/>
      <c r="N2" s="8" t="str">
        <f aca="false">IF(AND(ISNUMBER(M2),ISNUMBER(L2)),M2-L2,"")</f>
        <v/>
      </c>
      <c r="O2" s="4" t="n">
        <v>7.550116</v>
      </c>
      <c r="P2" s="9"/>
      <c r="Q2" s="5" t="str">
        <f aca="false">IF(AND(ISNUMBER(P2),ISNUMBER(O2)),P2-O2,"")</f>
        <v/>
      </c>
      <c r="R2" s="10" t="n">
        <v>263.959090135506</v>
      </c>
      <c r="S2" s="9"/>
      <c r="T2" s="11" t="str">
        <f aca="false">IF(AND(ISNUMBER(S2),ISNUMBER(R2)),IF(S2&lt;&gt;0,R2/S2,""),"")</f>
        <v/>
      </c>
      <c r="U2" s="12" t="str">
        <f aca="false">IF(COUNT(S$2:S$11)=ROWS(S$2:S$11),RANK(R2,R$2:R$11,1)-RANK(S2,S$2:S$11,1),"")</f>
        <v/>
      </c>
      <c r="V2" s="13"/>
      <c r="W2" s="13"/>
      <c r="X2" s="14"/>
      <c r="Y2" s="15"/>
      <c r="Z2" s="16" t="str">
        <f aca="false">"set1_pt"&amp;A2&amp;".vtk"</f>
        <v>set1_pt1.vtk</v>
      </c>
    </row>
    <row r="3" customFormat="false" ht="111.75" hidden="false" customHeight="true" outlineLevel="0" collapsed="false">
      <c r="A3" s="2" t="n">
        <v>2</v>
      </c>
      <c r="B3" s="3"/>
      <c r="C3" s="4" t="n">
        <v>51</v>
      </c>
      <c r="D3" s="2" t="n">
        <v>960</v>
      </c>
      <c r="E3" s="5" t="n">
        <f aca="false">Notes!$B$4/D3</f>
        <v>0.666666666666667</v>
      </c>
      <c r="F3" s="4" t="n">
        <v>0.52</v>
      </c>
      <c r="G3" s="6" t="n">
        <f aca="false">C3+F3*IF(E3&gt;=0.75,-1,MIN(0,SIN(2*PI()*E3)))</f>
        <v>50.5496667900321</v>
      </c>
      <c r="H3" s="6" t="n">
        <f aca="false">C3+F3*IF(E3&gt;=0.25,1,SIN(2*PI()*E3))</f>
        <v>51.52</v>
      </c>
      <c r="I3" s="2" t="n">
        <v>1380.32366821806</v>
      </c>
      <c r="J3" s="7"/>
      <c r="K3" s="8" t="str">
        <f aca="false">IF(AND(ISNUMBER(J3),ISNUMBER(I3)),J3-I3,"")</f>
        <v/>
      </c>
      <c r="L3" s="2" t="n">
        <v>1744.46534440925</v>
      </c>
      <c r="M3" s="7"/>
      <c r="N3" s="8" t="str">
        <f aca="false">IF(AND(ISNUMBER(M3),ISNUMBER(L3)),M3-L3,"")</f>
        <v/>
      </c>
      <c r="O3" s="4" t="n">
        <v>7.61353533333333</v>
      </c>
      <c r="P3" s="9"/>
      <c r="Q3" s="5" t="str">
        <f aca="false">IF(AND(ISNUMBER(P3),ISNUMBER(O3)),P3-O3,"")</f>
        <v/>
      </c>
      <c r="R3" s="10" t="n">
        <v>543.22722833229</v>
      </c>
      <c r="S3" s="9"/>
      <c r="T3" s="11" t="str">
        <f aca="false">IF(AND(ISNUMBER(S3),ISNUMBER(R3)),IF(S3&lt;&gt;0,R3/S3,""),"")</f>
        <v/>
      </c>
      <c r="U3" s="12" t="str">
        <f aca="false">IF(COUNT(S$2:S$11)=ROWS(S$2:S$11),RANK(R3,R$2:R$11,1)-RANK(S3,S$2:S$11,1),"")</f>
        <v/>
      </c>
      <c r="V3" s="13"/>
      <c r="W3" s="13"/>
      <c r="X3" s="14"/>
      <c r="Y3" s="15"/>
      <c r="Z3" s="16" t="str">
        <f aca="false">"set1_pt"&amp;A3&amp;".vtk"</f>
        <v>set1_pt2.vtk</v>
      </c>
    </row>
    <row r="4" customFormat="false" ht="111.75" hidden="false" customHeight="true" outlineLevel="0" collapsed="false">
      <c r="A4" s="2" t="n">
        <v>3</v>
      </c>
      <c r="B4" s="3"/>
      <c r="C4" s="4" t="n">
        <v>51</v>
      </c>
      <c r="D4" s="2" t="n">
        <v>480</v>
      </c>
      <c r="E4" s="5" t="n">
        <f aca="false">Notes!$B$4/D4</f>
        <v>1.33333333333333</v>
      </c>
      <c r="F4" s="4" t="n">
        <v>0.52</v>
      </c>
      <c r="G4" s="6" t="n">
        <f aca="false">C4+F4*IF(E4&gt;=0.75,-1,MIN(0,SIN(2*PI()*E4)))</f>
        <v>50.48</v>
      </c>
      <c r="H4" s="6" t="n">
        <f aca="false">C4+F4*IF(E4&gt;=0.25,1,SIN(2*PI()*E4))</f>
        <v>51.52</v>
      </c>
      <c r="I4" s="2" t="n">
        <v>1408.29891867377</v>
      </c>
      <c r="J4" s="7"/>
      <c r="K4" s="8" t="str">
        <f aca="false">IF(AND(ISNUMBER(J4),ISNUMBER(I4)),J4-I4,"")</f>
        <v/>
      </c>
      <c r="L4" s="2" t="n">
        <v>1745.71301367738</v>
      </c>
      <c r="M4" s="7"/>
      <c r="N4" s="8" t="str">
        <f aca="false">IF(AND(ISNUMBER(M4),ISNUMBER(L4)),M4-L4,"")</f>
        <v/>
      </c>
      <c r="O4" s="4" t="n">
        <v>7.63308399999999</v>
      </c>
      <c r="P4" s="9"/>
      <c r="Q4" s="5" t="str">
        <f aca="false">IF(AND(ISNUMBER(P4),ISNUMBER(O4)),P4-O4,"")</f>
        <v/>
      </c>
      <c r="R4" s="10" t="n">
        <v>632.07201334017</v>
      </c>
      <c r="S4" s="9"/>
      <c r="T4" s="11" t="str">
        <f aca="false">IF(AND(ISNUMBER(S4),ISNUMBER(R4)),IF(S4&lt;&gt;0,R4/S4,""),"")</f>
        <v/>
      </c>
      <c r="U4" s="12" t="str">
        <f aca="false">IF(COUNT(S$2:S$11)=ROWS(S$2:S$11),RANK(R4,R$2:R$11,1)-RANK(S4,S$2:S$11,1),"")</f>
        <v/>
      </c>
      <c r="V4" s="13"/>
      <c r="W4" s="13"/>
      <c r="X4" s="14"/>
      <c r="Y4" s="15"/>
      <c r="Z4" s="16" t="str">
        <f aca="false">"set1_pt"&amp;A4&amp;".vtk"</f>
        <v>set1_pt3.vtk</v>
      </c>
    </row>
    <row r="5" customFormat="false" ht="111.75" hidden="false" customHeight="true" outlineLevel="0" collapsed="false">
      <c r="A5" s="2" t="n">
        <v>4</v>
      </c>
      <c r="B5" s="3"/>
      <c r="C5" s="4" t="n">
        <v>51</v>
      </c>
      <c r="D5" s="2" t="n">
        <v>240</v>
      </c>
      <c r="E5" s="5" t="n">
        <f aca="false">Notes!$B$4/D5</f>
        <v>2.66666666666667</v>
      </c>
      <c r="F5" s="4" t="n">
        <v>0.52</v>
      </c>
      <c r="G5" s="6" t="n">
        <f aca="false">C5+F5*IF(E5&gt;=0.75,-1,MIN(0,SIN(2*PI()*E5)))</f>
        <v>50.48</v>
      </c>
      <c r="H5" s="6" t="n">
        <f aca="false">C5+F5*IF(E5&gt;=0.25,1,SIN(2*PI()*E5))</f>
        <v>51.52</v>
      </c>
      <c r="I5" s="2" t="n">
        <v>1409.06706888271</v>
      </c>
      <c r="J5" s="7"/>
      <c r="K5" s="8" t="str">
        <f aca="false">IF(AND(ISNUMBER(J5),ISNUMBER(I5)),J5-I5,"")</f>
        <v/>
      </c>
      <c r="L5" s="2" t="n">
        <v>1746.41676186042</v>
      </c>
      <c r="M5" s="7"/>
      <c r="N5" s="8" t="str">
        <f aca="false">IF(AND(ISNUMBER(M5),ISNUMBER(L5)),M5-L5,"")</f>
        <v/>
      </c>
      <c r="O5" s="4" t="n">
        <v>7.62935699999999</v>
      </c>
      <c r="P5" s="9"/>
      <c r="Q5" s="5" t="str">
        <f aca="false">IF(AND(ISNUMBER(P5),ISNUMBER(O5)),P5-O5,"")</f>
        <v/>
      </c>
      <c r="R5" s="10" t="n">
        <v>650.201104432882</v>
      </c>
      <c r="S5" s="9"/>
      <c r="T5" s="11" t="str">
        <f aca="false">IF(AND(ISNUMBER(S5),ISNUMBER(R5)),IF(S5&lt;&gt;0,R5/S5,""),"")</f>
        <v/>
      </c>
      <c r="U5" s="12" t="str">
        <f aca="false">IF(COUNT(S$2:S$11)=ROWS(S$2:S$11),RANK(R5,R$2:R$11,1)-RANK(S5,S$2:S$11,1),"")</f>
        <v/>
      </c>
      <c r="V5" s="13"/>
      <c r="W5" s="13"/>
      <c r="X5" s="14"/>
      <c r="Y5" s="15"/>
      <c r="Z5" s="16" t="str">
        <f aca="false">"set1_pt"&amp;A5&amp;".vtk"</f>
        <v>set1_pt4.vtk</v>
      </c>
    </row>
    <row r="6" customFormat="false" ht="111.75" hidden="false" customHeight="true" outlineLevel="0" collapsed="false">
      <c r="A6" s="2" t="n">
        <v>5</v>
      </c>
      <c r="B6" s="3"/>
      <c r="C6" s="4" t="n">
        <v>50.95</v>
      </c>
      <c r="D6" s="2" t="n">
        <v>240</v>
      </c>
      <c r="E6" s="5" t="n">
        <f aca="false">Notes!$B$4/D6</f>
        <v>2.66666666666667</v>
      </c>
      <c r="F6" s="4" t="n">
        <v>0.52</v>
      </c>
      <c r="G6" s="6" t="n">
        <f aca="false">C6+F6*IF(E6&gt;=0.75,-1,MIN(0,SIN(2*PI()*E6)))</f>
        <v>50.43</v>
      </c>
      <c r="H6" s="6" t="n">
        <f aca="false">C6+F6*IF(E6&gt;=0.25,1,SIN(2*PI()*E6))</f>
        <v>51.47</v>
      </c>
      <c r="I6" s="2" t="n">
        <v>1407.499351274</v>
      </c>
      <c r="J6" s="7"/>
      <c r="K6" s="8" t="str">
        <f aca="false">IF(AND(ISNUMBER(J6),ISNUMBER(I6)),J6-I6,"")</f>
        <v/>
      </c>
      <c r="L6" s="2" t="n">
        <v>1746.37860154084</v>
      </c>
      <c r="M6" s="7"/>
      <c r="N6" s="8" t="str">
        <f aca="false">IF(AND(ISNUMBER(M6),ISNUMBER(L6)),M6-L6,"")</f>
        <v/>
      </c>
      <c r="O6" s="4" t="n">
        <v>7.63384199999999</v>
      </c>
      <c r="P6" s="9"/>
      <c r="Q6" s="5" t="str">
        <f aca="false">IF(AND(ISNUMBER(P6),ISNUMBER(O6)),P6-O6,"")</f>
        <v/>
      </c>
      <c r="R6" s="10" t="n">
        <v>656.430712583907</v>
      </c>
      <c r="S6" s="9"/>
      <c r="T6" s="11" t="str">
        <f aca="false">IF(AND(ISNUMBER(S6),ISNUMBER(R6)),IF(S6&lt;&gt;0,R6/S6,""),"")</f>
        <v/>
      </c>
      <c r="U6" s="12" t="str">
        <f aca="false">IF(COUNT(S$2:S$11)=ROWS(S$2:S$11),RANK(R6,R$2:R$11,1)-RANK(S6,S$2:S$11,1),"")</f>
        <v/>
      </c>
      <c r="V6" s="13"/>
      <c r="W6" s="13"/>
      <c r="X6" s="14"/>
      <c r="Y6" s="15"/>
      <c r="Z6" s="16" t="str">
        <f aca="false">"set1_pt"&amp;A6&amp;".vtk"</f>
        <v>set1_pt5.vtk</v>
      </c>
    </row>
    <row r="7" customFormat="false" ht="111.75" hidden="false" customHeight="true" outlineLevel="0" collapsed="false">
      <c r="A7" s="2" t="n">
        <v>6</v>
      </c>
      <c r="B7" s="3"/>
      <c r="C7" s="4" t="n">
        <v>50.95</v>
      </c>
      <c r="D7" s="2" t="n">
        <v>320</v>
      </c>
      <c r="E7" s="5" t="n">
        <f aca="false">Notes!$B$4/D7</f>
        <v>2</v>
      </c>
      <c r="F7" s="4" t="n">
        <v>0.52</v>
      </c>
      <c r="G7" s="6" t="n">
        <f aca="false">C7+F7*IF(E7&gt;=0.75,-1,MIN(0,SIN(2*PI()*E7)))</f>
        <v>50.43</v>
      </c>
      <c r="H7" s="6" t="n">
        <f aca="false">C7+F7*IF(E7&gt;=0.25,1,SIN(2*PI()*E7))</f>
        <v>51.47</v>
      </c>
      <c r="I7" s="2" t="n">
        <v>1407.29955396803</v>
      </c>
      <c r="J7" s="7"/>
      <c r="K7" s="8" t="str">
        <f aca="false">IF(AND(ISNUMBER(J7),ISNUMBER(I7)),J7-I7,"")</f>
        <v/>
      </c>
      <c r="L7" s="2" t="n">
        <v>1745.65194202208</v>
      </c>
      <c r="M7" s="7"/>
      <c r="N7" s="8" t="str">
        <f aca="false">IF(AND(ISNUMBER(M7),ISNUMBER(L7)),M7-L7,"")</f>
        <v/>
      </c>
      <c r="O7" s="4" t="n">
        <v>7.64592499999999</v>
      </c>
      <c r="P7" s="9"/>
      <c r="Q7" s="5" t="str">
        <f aca="false">IF(AND(ISNUMBER(P7),ISNUMBER(O7)),P7-O7,"")</f>
        <v/>
      </c>
      <c r="R7" s="10" t="n">
        <v>661.922490247295</v>
      </c>
      <c r="S7" s="9"/>
      <c r="T7" s="11" t="str">
        <f aca="false">IF(AND(ISNUMBER(S7),ISNUMBER(R7)),IF(S7&lt;&gt;0,R7/S7,""),"")</f>
        <v/>
      </c>
      <c r="U7" s="12" t="str">
        <f aca="false">IF(COUNT(S$2:S$11)=ROWS(S$2:S$11),RANK(R7,R$2:R$11,1)-RANK(S7,S$2:S$11,1),"")</f>
        <v/>
      </c>
      <c r="V7" s="13"/>
      <c r="W7" s="13"/>
      <c r="X7" s="14"/>
      <c r="Y7" s="15"/>
      <c r="Z7" s="16" t="str">
        <f aca="false">"set1_pt"&amp;A7&amp;".vtk"</f>
        <v>set1_pt6.vtk</v>
      </c>
    </row>
    <row r="8" customFormat="false" ht="111.75" hidden="false" customHeight="true" outlineLevel="0" collapsed="false">
      <c r="A8" s="2" t="n">
        <v>7</v>
      </c>
      <c r="B8" s="3"/>
      <c r="C8" s="4" t="n">
        <v>51</v>
      </c>
      <c r="D8" s="2" t="n">
        <v>240</v>
      </c>
      <c r="E8" s="5" t="n">
        <f aca="false">Notes!$B$4/D8</f>
        <v>2.66666666666667</v>
      </c>
      <c r="F8" s="4" t="n">
        <v>0.4</v>
      </c>
      <c r="G8" s="6" t="n">
        <f aca="false">C8+F8*IF(E8&gt;=0.75,-1,MIN(0,SIN(2*PI()*E8)))</f>
        <v>50.6</v>
      </c>
      <c r="H8" s="6" t="n">
        <f aca="false">C8+F8*IF(E8&gt;=0.25,1,SIN(2*PI()*E8))</f>
        <v>51.4</v>
      </c>
      <c r="I8" s="2" t="n">
        <v>1409.21728292278</v>
      </c>
      <c r="J8" s="7"/>
      <c r="K8" s="8" t="str">
        <f aca="false">IF(AND(ISNUMBER(J8),ISNUMBER(I8)),J8-I8,"")</f>
        <v/>
      </c>
      <c r="L8" s="2" t="n">
        <v>1746.53707486242</v>
      </c>
      <c r="M8" s="7"/>
      <c r="N8" s="8" t="str">
        <f aca="false">IF(AND(ISNUMBER(M8),ISNUMBER(L8)),M8-L8,"")</f>
        <v/>
      </c>
      <c r="O8" s="4" t="n">
        <v>7.64266299999999</v>
      </c>
      <c r="P8" s="9"/>
      <c r="Q8" s="5" t="str">
        <f aca="false">IF(AND(ISNUMBER(P8),ISNUMBER(O8)),P8-O8,"")</f>
        <v/>
      </c>
      <c r="R8" s="10" t="n">
        <v>722.735643650416</v>
      </c>
      <c r="S8" s="9"/>
      <c r="T8" s="11" t="str">
        <f aca="false">IF(AND(ISNUMBER(S8),ISNUMBER(R8)),IF(S8&lt;&gt;0,R8/S8,""),"")</f>
        <v/>
      </c>
      <c r="U8" s="12" t="str">
        <f aca="false">IF(COUNT(S$2:S$11)=ROWS(S$2:S$11),RANK(R8,R$2:R$11,1)-RANK(S8,S$2:S$11,1),"")</f>
        <v/>
      </c>
      <c r="V8" s="13"/>
      <c r="W8" s="13"/>
      <c r="X8" s="14"/>
      <c r="Y8" s="15"/>
      <c r="Z8" s="16" t="str">
        <f aca="false">"set1_pt"&amp;A8&amp;".vtk"</f>
        <v>set1_pt7.vtk</v>
      </c>
    </row>
    <row r="9" customFormat="false" ht="111.75" hidden="false" customHeight="true" outlineLevel="0" collapsed="false">
      <c r="A9" s="2" t="n">
        <v>8</v>
      </c>
      <c r="B9" s="3"/>
      <c r="C9" s="4" t="n">
        <v>50.95</v>
      </c>
      <c r="D9" s="2" t="n">
        <v>240</v>
      </c>
      <c r="E9" s="5" t="n">
        <f aca="false">Notes!$B$4/D9</f>
        <v>2.66666666666667</v>
      </c>
      <c r="F9" s="4" t="n">
        <v>0.48</v>
      </c>
      <c r="G9" s="6" t="n">
        <f aca="false">C9+F9*IF(E9&gt;=0.75,-1,MIN(0,SIN(2*PI()*E9)))</f>
        <v>50.47</v>
      </c>
      <c r="H9" s="6" t="n">
        <f aca="false">C9+F9*IF(E9&gt;=0.25,1,SIN(2*PI()*E9))</f>
        <v>51.43</v>
      </c>
      <c r="I9" s="2" t="n">
        <v>1402.53857129639</v>
      </c>
      <c r="J9" s="7"/>
      <c r="K9" s="8" t="str">
        <f aca="false">IF(AND(ISNUMBER(J9),ISNUMBER(I9)),J9-I9,"")</f>
        <v/>
      </c>
      <c r="L9" s="2" t="n">
        <v>1746.17439480164</v>
      </c>
      <c r="M9" s="7"/>
      <c r="N9" s="8" t="str">
        <f aca="false">IF(AND(ISNUMBER(M9),ISNUMBER(L9)),M9-L9,"")</f>
        <v/>
      </c>
      <c r="O9" s="4" t="n">
        <v>7.64895899999999</v>
      </c>
      <c r="P9" s="9"/>
      <c r="Q9" s="5" t="str">
        <f aca="false">IF(AND(ISNUMBER(P9),ISNUMBER(O9)),P9-O9,"")</f>
        <v/>
      </c>
      <c r="R9" s="10" t="n">
        <v>731.734711525745</v>
      </c>
      <c r="S9" s="9"/>
      <c r="T9" s="11" t="str">
        <f aca="false">IF(AND(ISNUMBER(S9),ISNUMBER(R9)),IF(S9&lt;&gt;0,R9/S9,""),"")</f>
        <v/>
      </c>
      <c r="U9" s="12" t="str">
        <f aca="false">IF(COUNT(S$2:S$11)=ROWS(S$2:S$11),RANK(R9,R$2:R$11,1)-RANK(S9,S$2:S$11,1),"")</f>
        <v/>
      </c>
      <c r="V9" s="13"/>
      <c r="W9" s="13"/>
      <c r="X9" s="14"/>
      <c r="Y9" s="15"/>
      <c r="Z9" s="16" t="str">
        <f aca="false">"set1_pt"&amp;A9&amp;".vtk"</f>
        <v>set1_pt8.vtk</v>
      </c>
    </row>
    <row r="10" customFormat="false" ht="111.75" hidden="false" customHeight="true" outlineLevel="0" collapsed="false">
      <c r="A10" s="2" t="n">
        <v>9</v>
      </c>
      <c r="B10" s="3"/>
      <c r="C10" s="4" t="n">
        <v>51</v>
      </c>
      <c r="D10" s="2" t="n">
        <v>160</v>
      </c>
      <c r="E10" s="5" t="n">
        <f aca="false">Notes!$B$4/D10</f>
        <v>4</v>
      </c>
      <c r="F10" s="4" t="n">
        <v>0.48</v>
      </c>
      <c r="G10" s="6" t="n">
        <f aca="false">C10+F10*IF(E10&gt;=0.75,-1,MIN(0,SIN(2*PI()*E10)))</f>
        <v>50.52</v>
      </c>
      <c r="H10" s="6" t="n">
        <f aca="false">C10+F10*IF(E10&gt;=0.25,1,SIN(2*PI()*E10))</f>
        <v>51.48</v>
      </c>
      <c r="I10" s="2" t="n">
        <v>1403.69923690996</v>
      </c>
      <c r="J10" s="7"/>
      <c r="K10" s="8" t="str">
        <f aca="false">IF(AND(ISNUMBER(J10),ISNUMBER(I10)),J10-I10,"")</f>
        <v/>
      </c>
      <c r="L10" s="2" t="n">
        <v>1749.6312767733</v>
      </c>
      <c r="M10" s="7"/>
      <c r="N10" s="8" t="str">
        <f aca="false">IF(AND(ISNUMBER(M10),ISNUMBER(L10)),M10-L10,"")</f>
        <v/>
      </c>
      <c r="O10" s="4" t="n">
        <v>7.64311299999999</v>
      </c>
      <c r="P10" s="9"/>
      <c r="Q10" s="5" t="str">
        <f aca="false">IF(AND(ISNUMBER(P10),ISNUMBER(O10)),P10-O10,"")</f>
        <v/>
      </c>
      <c r="R10" s="10" t="n">
        <v>741.859239328738</v>
      </c>
      <c r="S10" s="9"/>
      <c r="T10" s="11" t="str">
        <f aca="false">IF(AND(ISNUMBER(S10),ISNUMBER(R10)),IF(S10&lt;&gt;0,R10/S10,""),"")</f>
        <v/>
      </c>
      <c r="U10" s="12" t="str">
        <f aca="false">IF(COUNT(S$2:S$11)=ROWS(S$2:S$11),RANK(R10,R$2:R$11,1)-RANK(S10,S$2:S$11,1),"")</f>
        <v/>
      </c>
      <c r="V10" s="13"/>
      <c r="W10" s="13"/>
      <c r="X10" s="14"/>
      <c r="Y10" s="15"/>
      <c r="Z10" s="16" t="str">
        <f aca="false">"set1_pt"&amp;A10&amp;".vtk"</f>
        <v>set1_pt9.vtk</v>
      </c>
    </row>
    <row r="11" customFormat="false" ht="111.75" hidden="false" customHeight="true" outlineLevel="0" collapsed="false">
      <c r="A11" s="2" t="n">
        <v>10</v>
      </c>
      <c r="B11" s="3"/>
      <c r="C11" s="4" t="n">
        <v>51</v>
      </c>
      <c r="D11" s="2" t="n">
        <v>160</v>
      </c>
      <c r="E11" s="5" t="n">
        <f aca="false">Notes!$B$4/D11</f>
        <v>4</v>
      </c>
      <c r="F11" s="4" t="n">
        <v>0.44</v>
      </c>
      <c r="G11" s="6" t="n">
        <f aca="false">C11+F11*IF(E11&gt;=0.75,-1,MIN(0,SIN(2*PI()*E11)))</f>
        <v>50.56</v>
      </c>
      <c r="H11" s="6" t="n">
        <f aca="false">C11+F11*IF(E11&gt;=0.25,1,SIN(2*PI()*E11))</f>
        <v>51.44</v>
      </c>
      <c r="I11" s="2" t="n">
        <v>1404.60593589585</v>
      </c>
      <c r="J11" s="7"/>
      <c r="K11" s="8" t="str">
        <f aca="false">IF(AND(ISNUMBER(J11),ISNUMBER(I11)),J11-I11,"")</f>
        <v/>
      </c>
      <c r="L11" s="2" t="n">
        <v>1749.65293005789</v>
      </c>
      <c r="M11" s="7"/>
      <c r="N11" s="8" t="str">
        <f aca="false">IF(AND(ISNUMBER(M11),ISNUMBER(L11)),M11-L11,"")</f>
        <v/>
      </c>
      <c r="O11" s="4" t="n">
        <v>7.64497699999999</v>
      </c>
      <c r="P11" s="9"/>
      <c r="Q11" s="5" t="str">
        <f aca="false">IF(AND(ISNUMBER(P11),ISNUMBER(O11)),P11-O11,"")</f>
        <v/>
      </c>
      <c r="R11" s="10" t="n">
        <v>749.678589646605</v>
      </c>
      <c r="S11" s="9"/>
      <c r="T11" s="11" t="str">
        <f aca="false">IF(AND(ISNUMBER(S11),ISNUMBER(R11)),IF(S11&lt;&gt;0,R11/S11,""),"")</f>
        <v/>
      </c>
      <c r="U11" s="12" t="str">
        <f aca="false">IF(COUNT(S$2:S$11)=ROWS(S$2:S$11),RANK(R11,R$2:R$11,1)-RANK(S11,S$2:S$11,1),"")</f>
        <v/>
      </c>
      <c r="V11" s="13"/>
      <c r="W11" s="13"/>
      <c r="X11" s="14"/>
      <c r="Y11" s="15"/>
      <c r="Z11" s="16" t="str">
        <f aca="false">"set1_pt"&amp;A11&amp;".vtk"</f>
        <v>set1_pt10.vtk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1"/>
    <col collapsed="false" customWidth="true" hidden="false" outlineLevel="0" max="4" min="4" style="0" width="9"/>
    <col collapsed="false" customWidth="true" hidden="false" outlineLevel="0" max="5" min="5" style="0" width="13"/>
    <col collapsed="false" customWidth="true" hidden="false" outlineLevel="0" max="6" min="6" style="0" width="9"/>
    <col collapsed="false" customWidth="true" hidden="false" outlineLevel="0" max="8" min="7" style="0" width="10"/>
    <col collapsed="false" customWidth="true" hidden="false" outlineLevel="0" max="10" min="9" style="0" width="11"/>
    <col collapsed="false" customWidth="true" hidden="false" outlineLevel="0" max="11" min="11" style="0" width="9"/>
    <col collapsed="false" customWidth="true" hidden="false" outlineLevel="0" max="13" min="12" style="0" width="11"/>
    <col collapsed="false" customWidth="true" hidden="false" outlineLevel="0" max="14" min="14" style="0" width="9"/>
    <col collapsed="false" customWidth="true" hidden="false" outlineLevel="0" max="20" min="15" style="0" width="11"/>
    <col collapsed="false" customWidth="true" hidden="false" outlineLevel="0" max="21" min="21" style="0" width="9"/>
    <col collapsed="false" customWidth="true" hidden="false" outlineLevel="0" max="23" min="22" style="0" width="10"/>
    <col collapsed="false" customWidth="true" hidden="false" outlineLevel="0" max="24" min="24" style="0" width="12"/>
    <col collapsed="false" customWidth="true" hidden="false" outlineLevel="0" max="25" min="25" style="0" width="28"/>
    <col collapsed="false" customWidth="true" hidden="false" outlineLevel="0" max="26" min="26" style="0" width="18"/>
  </cols>
  <sheetData>
    <row r="1" customFormat="false" ht="42" hidden="false" customHeight="true" outlineLevel="0" collapsed="false">
      <c r="A1" s="1" t="s">
        <v>0</v>
      </c>
      <c r="B1" s="1" t="s">
        <v>1</v>
      </c>
      <c r="C1" s="1" t="s">
        <v>2</v>
      </c>
      <c r="D1" s="1" t="s">
        <v>3</v>
      </c>
      <c r="E1" s="1" t="str">
        <f aca="false">"waves / "&amp;Notes!$B$5&amp;" nm"</f>
        <v>waves / 1280 nm</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customFormat="false" ht="111.75" hidden="false" customHeight="true" outlineLevel="0" collapsed="false">
      <c r="A2" s="2" t="n">
        <v>1</v>
      </c>
      <c r="B2" s="3"/>
      <c r="C2" s="4" t="n">
        <v>50.55</v>
      </c>
      <c r="D2" s="2" t="n">
        <v>80</v>
      </c>
      <c r="E2" s="5" t="n">
        <f aca="false">Notes!$B$5/D2</f>
        <v>16</v>
      </c>
      <c r="F2" s="4" t="n">
        <v>0.88</v>
      </c>
      <c r="G2" s="6" t="n">
        <f aca="false">C2+F2*IF(E2&gt;=0.75,-1,MIN(0,SIN(2*PI()*E2)))</f>
        <v>49.67</v>
      </c>
      <c r="H2" s="6" t="n">
        <f aca="false">C2+F2*IF(E2&gt;=0.25,1,SIN(2*PI()*E2))</f>
        <v>51.43</v>
      </c>
      <c r="I2" s="2" t="n">
        <v>252.941476967729</v>
      </c>
      <c r="J2" s="7"/>
      <c r="K2" s="8" t="str">
        <f aca="false">IF(AND(ISNUMBER(J2),ISNUMBER(I2)),J2-I2,"")</f>
        <v/>
      </c>
      <c r="L2" s="2" t="n">
        <v>1272.77675106126</v>
      </c>
      <c r="M2" s="7"/>
      <c r="N2" s="8" t="str">
        <f aca="false">IF(AND(ISNUMBER(M2),ISNUMBER(L2)),M2-L2,"")</f>
        <v/>
      </c>
      <c r="O2" s="4" t="n">
        <v>7.51738999999999</v>
      </c>
      <c r="P2" s="9"/>
      <c r="Q2" s="5" t="str">
        <f aca="false">IF(AND(ISNUMBER(P2),ISNUMBER(O2)),P2-O2,"")</f>
        <v/>
      </c>
      <c r="R2" s="10" t="n">
        <v>194.037396072618</v>
      </c>
      <c r="S2" s="9"/>
      <c r="T2" s="11" t="str">
        <f aca="false">IF(AND(ISNUMBER(S2),ISNUMBER(R2)),IF(S2&lt;&gt;0,R2/S2,""),"")</f>
        <v/>
      </c>
      <c r="U2" s="12" t="str">
        <f aca="false">IF(COUNT(S$2:S$11)=ROWS(S$2:S$11),RANK(R2,R$2:R$11,1)-RANK(S2,S$2:S$11,1),"")</f>
        <v/>
      </c>
      <c r="V2" s="13"/>
      <c r="W2" s="13"/>
      <c r="X2" s="14"/>
      <c r="Y2" s="15"/>
      <c r="Z2" s="16" t="str">
        <f aca="false">"set2_pt"&amp;A2&amp;".vtk"</f>
        <v>set2_pt1.vtk</v>
      </c>
    </row>
    <row r="3" customFormat="false" ht="111.75" hidden="false" customHeight="true" outlineLevel="0" collapsed="false">
      <c r="A3" s="2" t="n">
        <v>2</v>
      </c>
      <c r="B3" s="3"/>
      <c r="C3" s="4" t="n">
        <v>50.55</v>
      </c>
      <c r="D3" s="2" t="n">
        <v>320</v>
      </c>
      <c r="E3" s="5" t="n">
        <f aca="false">Notes!$B$5/D3</f>
        <v>4</v>
      </c>
      <c r="F3" s="4" t="n">
        <v>0.92</v>
      </c>
      <c r="G3" s="6" t="n">
        <f aca="false">C3+F3*IF(E3&gt;=0.75,-1,MIN(0,SIN(2*PI()*E3)))</f>
        <v>49.63</v>
      </c>
      <c r="H3" s="6" t="n">
        <f aca="false">C3+F3*IF(E3&gt;=0.25,1,SIN(2*PI()*E3))</f>
        <v>51.47</v>
      </c>
      <c r="I3" s="2" t="n">
        <v>252.932975417789</v>
      </c>
      <c r="J3" s="7"/>
      <c r="K3" s="8" t="str">
        <f aca="false">IF(AND(ISNUMBER(J3),ISNUMBER(I3)),J3-I3,"")</f>
        <v/>
      </c>
      <c r="L3" s="2" t="n">
        <v>1271.95778259744</v>
      </c>
      <c r="M3" s="7"/>
      <c r="N3" s="8" t="str">
        <f aca="false">IF(AND(ISNUMBER(M3),ISNUMBER(L3)),M3-L3,"")</f>
        <v/>
      </c>
      <c r="O3" s="4" t="n">
        <v>7.51647999999999</v>
      </c>
      <c r="P3" s="9"/>
      <c r="Q3" s="5" t="str">
        <f aca="false">IF(AND(ISNUMBER(P3),ISNUMBER(O3)),P3-O3,"")</f>
        <v/>
      </c>
      <c r="R3" s="10" t="n">
        <v>194.398322200401</v>
      </c>
      <c r="S3" s="9"/>
      <c r="T3" s="11" t="str">
        <f aca="false">IF(AND(ISNUMBER(S3),ISNUMBER(R3)),IF(S3&lt;&gt;0,R3/S3,""),"")</f>
        <v/>
      </c>
      <c r="U3" s="12" t="str">
        <f aca="false">IF(COUNT(S$2:S$11)=ROWS(S$2:S$11),RANK(R3,R$2:R$11,1)-RANK(S3,S$2:S$11,1),"")</f>
        <v/>
      </c>
      <c r="V3" s="13"/>
      <c r="W3" s="13"/>
      <c r="X3" s="14"/>
      <c r="Y3" s="15"/>
      <c r="Z3" s="16" t="str">
        <f aca="false">"set2_pt"&amp;A3&amp;".vtk"</f>
        <v>set2_pt2.vtk</v>
      </c>
    </row>
    <row r="4" customFormat="false" ht="111.75" hidden="false" customHeight="true" outlineLevel="0" collapsed="false">
      <c r="A4" s="2" t="n">
        <v>3</v>
      </c>
      <c r="B4" s="3"/>
      <c r="C4" s="4" t="n">
        <v>50.55</v>
      </c>
      <c r="D4" s="2" t="n">
        <v>240</v>
      </c>
      <c r="E4" s="5" t="n">
        <f aca="false">Notes!$B$5/D4</f>
        <v>5.33333333333333</v>
      </c>
      <c r="F4" s="4" t="n">
        <v>0.8</v>
      </c>
      <c r="G4" s="6" t="n">
        <f aca="false">C4+F4*IF(E4&gt;=0.75,-1,MIN(0,SIN(2*PI()*E4)))</f>
        <v>49.75</v>
      </c>
      <c r="H4" s="6" t="n">
        <f aca="false">C4+F4*IF(E4&gt;=0.25,1,SIN(2*PI()*E4))</f>
        <v>51.35</v>
      </c>
      <c r="I4" s="2" t="n">
        <v>252.941476967729</v>
      </c>
      <c r="J4" s="7"/>
      <c r="K4" s="8" t="str">
        <f aca="false">IF(AND(ISNUMBER(J4),ISNUMBER(I4)),J4-I4,"")</f>
        <v/>
      </c>
      <c r="L4" s="2" t="n">
        <v>1274.36021618533</v>
      </c>
      <c r="M4" s="7"/>
      <c r="N4" s="8" t="str">
        <f aca="false">IF(AND(ISNUMBER(M4),ISNUMBER(L4)),M4-L4,"")</f>
        <v/>
      </c>
      <c r="O4" s="4" t="n">
        <v>7.51820299999999</v>
      </c>
      <c r="P4" s="9"/>
      <c r="Q4" s="5" t="str">
        <f aca="false">IF(AND(ISNUMBER(P4),ISNUMBER(O4)),P4-O4,"")</f>
        <v/>
      </c>
      <c r="R4" s="10" t="n">
        <v>195.04844034153</v>
      </c>
      <c r="S4" s="9"/>
      <c r="T4" s="11" t="str">
        <f aca="false">IF(AND(ISNUMBER(S4),ISNUMBER(R4)),IF(S4&lt;&gt;0,R4/S4,""),"")</f>
        <v/>
      </c>
      <c r="U4" s="12" t="str">
        <f aca="false">IF(COUNT(S$2:S$11)=ROWS(S$2:S$11),RANK(R4,R$2:R$11,1)-RANK(S4,S$2:S$11,1),"")</f>
        <v/>
      </c>
      <c r="V4" s="13"/>
      <c r="W4" s="13"/>
      <c r="X4" s="14"/>
      <c r="Y4" s="15"/>
      <c r="Z4" s="16" t="str">
        <f aca="false">"set2_pt"&amp;A4&amp;".vtk"</f>
        <v>set2_pt3.vtk</v>
      </c>
    </row>
    <row r="5" customFormat="false" ht="111.75" hidden="false" customHeight="true" outlineLevel="0" collapsed="false">
      <c r="A5" s="2" t="n">
        <v>4</v>
      </c>
      <c r="B5" s="3"/>
      <c r="C5" s="4" t="n">
        <v>50.55</v>
      </c>
      <c r="D5" s="2" t="n">
        <v>640</v>
      </c>
      <c r="E5" s="5" t="n">
        <f aca="false">Notes!$B$5/D5</f>
        <v>2</v>
      </c>
      <c r="F5" s="4" t="n">
        <v>1</v>
      </c>
      <c r="G5" s="6" t="n">
        <f aca="false">C5+F5*IF(E5&gt;=0.75,-1,MIN(0,SIN(2*PI()*E5)))</f>
        <v>49.55</v>
      </c>
      <c r="H5" s="6" t="n">
        <f aca="false">C5+F5*IF(E5&gt;=0.25,1,SIN(2*PI()*E5))</f>
        <v>51.55</v>
      </c>
      <c r="I5" s="2" t="n">
        <v>244.381588889695</v>
      </c>
      <c r="J5" s="7"/>
      <c r="K5" s="8" t="str">
        <f aca="false">IF(AND(ISNUMBER(J5),ISNUMBER(I5)),J5-I5,"")</f>
        <v/>
      </c>
      <c r="L5" s="2" t="n">
        <v>1240.57518622454</v>
      </c>
      <c r="M5" s="7"/>
      <c r="N5" s="8" t="str">
        <f aca="false">IF(AND(ISNUMBER(M5),ISNUMBER(L5)),M5-L5,"")</f>
        <v/>
      </c>
      <c r="O5" s="4" t="n">
        <v>7.54008299999999</v>
      </c>
      <c r="P5" s="9"/>
      <c r="Q5" s="5" t="str">
        <f aca="false">IF(AND(ISNUMBER(P5),ISNUMBER(O5)),P5-O5,"")</f>
        <v/>
      </c>
      <c r="R5" s="10" t="n">
        <v>265.165023707051</v>
      </c>
      <c r="S5" s="9"/>
      <c r="T5" s="11" t="str">
        <f aca="false">IF(AND(ISNUMBER(S5),ISNUMBER(R5)),IF(S5&lt;&gt;0,R5/S5,""),"")</f>
        <v/>
      </c>
      <c r="U5" s="12" t="str">
        <f aca="false">IF(COUNT(S$2:S$11)=ROWS(S$2:S$11),RANK(R5,R$2:R$11,1)-RANK(S5,S$2:S$11,1),"")</f>
        <v/>
      </c>
      <c r="V5" s="13"/>
      <c r="W5" s="13"/>
      <c r="X5" s="14"/>
      <c r="Y5" s="15"/>
      <c r="Z5" s="16" t="str">
        <f aca="false">"set2_pt"&amp;A5&amp;".vtk"</f>
        <v>set2_pt4.vtk</v>
      </c>
    </row>
    <row r="6" customFormat="false" ht="111.75" hidden="false" customHeight="true" outlineLevel="0" collapsed="false">
      <c r="A6" s="2" t="n">
        <v>5</v>
      </c>
      <c r="B6" s="3"/>
      <c r="C6" s="4" t="n">
        <v>50.55</v>
      </c>
      <c r="D6" s="2" t="n">
        <v>480</v>
      </c>
      <c r="E6" s="5" t="n">
        <f aca="false">Notes!$B$5/D6</f>
        <v>2.66666666666667</v>
      </c>
      <c r="F6" s="4" t="n">
        <v>0.92</v>
      </c>
      <c r="G6" s="6" t="n">
        <f aca="false">C6+F6*IF(E6&gt;=0.75,-1,MIN(0,SIN(2*PI()*E6)))</f>
        <v>49.63</v>
      </c>
      <c r="H6" s="6" t="n">
        <f aca="false">C6+F6*IF(E6&gt;=0.25,1,SIN(2*PI()*E6))</f>
        <v>51.47</v>
      </c>
      <c r="I6" s="2" t="n">
        <v>244.510942148903</v>
      </c>
      <c r="J6" s="7"/>
      <c r="K6" s="8" t="str">
        <f aca="false">IF(AND(ISNUMBER(J6),ISNUMBER(I6)),J6-I6,"")</f>
        <v/>
      </c>
      <c r="L6" s="2" t="n">
        <v>1241.43819349573</v>
      </c>
      <c r="M6" s="7"/>
      <c r="N6" s="8" t="str">
        <f aca="false">IF(AND(ISNUMBER(M6),ISNUMBER(L6)),M6-L6,"")</f>
        <v/>
      </c>
      <c r="O6" s="4" t="n">
        <v>7.54310199999999</v>
      </c>
      <c r="P6" s="9"/>
      <c r="Q6" s="5" t="str">
        <f aca="false">IF(AND(ISNUMBER(P6),ISNUMBER(O6)),P6-O6,"")</f>
        <v/>
      </c>
      <c r="R6" s="10" t="n">
        <v>265.45253270235</v>
      </c>
      <c r="S6" s="9"/>
      <c r="T6" s="11" t="str">
        <f aca="false">IF(AND(ISNUMBER(S6),ISNUMBER(R6)),IF(S6&lt;&gt;0,R6/S6,""),"")</f>
        <v/>
      </c>
      <c r="U6" s="12" t="str">
        <f aca="false">IF(COUNT(S$2:S$11)=ROWS(S$2:S$11),RANK(R6,R$2:R$11,1)-RANK(S6,S$2:S$11,1),"")</f>
        <v/>
      </c>
      <c r="V6" s="13"/>
      <c r="W6" s="13"/>
      <c r="X6" s="14"/>
      <c r="Y6" s="15"/>
      <c r="Z6" s="16" t="str">
        <f aca="false">"set2_pt"&amp;A6&amp;".vtk"</f>
        <v>set2_pt5.vtk</v>
      </c>
    </row>
    <row r="7" customFormat="false" ht="111.75" hidden="false" customHeight="true" outlineLevel="0" collapsed="false">
      <c r="A7" s="2" t="n">
        <v>6</v>
      </c>
      <c r="B7" s="3"/>
      <c r="C7" s="4" t="n">
        <v>50.55</v>
      </c>
      <c r="D7" s="2" t="n">
        <v>640</v>
      </c>
      <c r="E7" s="5" t="n">
        <f aca="false">Notes!$B$5/D7</f>
        <v>2</v>
      </c>
      <c r="F7" s="4" t="n">
        <v>0.8</v>
      </c>
      <c r="G7" s="6" t="n">
        <f aca="false">C7+F7*IF(E7&gt;=0.75,-1,MIN(0,SIN(2*PI()*E7)))</f>
        <v>49.75</v>
      </c>
      <c r="H7" s="6" t="n">
        <f aca="false">C7+F7*IF(E7&gt;=0.25,1,SIN(2*PI()*E7))</f>
        <v>51.35</v>
      </c>
      <c r="I7" s="2" t="n">
        <v>244.518491839956</v>
      </c>
      <c r="J7" s="7"/>
      <c r="K7" s="8" t="str">
        <f aca="false">IF(AND(ISNUMBER(J7),ISNUMBER(I7)),J7-I7,"")</f>
        <v/>
      </c>
      <c r="L7" s="2" t="n">
        <v>1244.01182011071</v>
      </c>
      <c r="M7" s="7"/>
      <c r="N7" s="8" t="str">
        <f aca="false">IF(AND(ISNUMBER(M7),ISNUMBER(L7)),M7-L7,"")</f>
        <v/>
      </c>
      <c r="O7" s="4" t="n">
        <v>7.54482499999999</v>
      </c>
      <c r="P7" s="9"/>
      <c r="Q7" s="5" t="str">
        <f aca="false">IF(AND(ISNUMBER(P7),ISNUMBER(O7)),P7-O7,"")</f>
        <v/>
      </c>
      <c r="R7" s="10" t="n">
        <v>266.130053765627</v>
      </c>
      <c r="S7" s="9"/>
      <c r="T7" s="11" t="str">
        <f aca="false">IF(AND(ISNUMBER(S7),ISNUMBER(R7)),IF(S7&lt;&gt;0,R7/S7,""),"")</f>
        <v/>
      </c>
      <c r="U7" s="12" t="str">
        <f aca="false">IF(COUNT(S$2:S$11)=ROWS(S$2:S$11),RANK(R7,R$2:R$11,1)-RANK(S7,S$2:S$11,1),"")</f>
        <v/>
      </c>
      <c r="V7" s="13"/>
      <c r="W7" s="13"/>
      <c r="X7" s="14"/>
      <c r="Y7" s="15"/>
      <c r="Z7" s="16" t="str">
        <f aca="false">"set2_pt"&amp;A7&amp;".vtk"</f>
        <v>set2_pt6.vtk</v>
      </c>
    </row>
    <row r="8" customFormat="false" ht="111.75" hidden="false" customHeight="true" outlineLevel="0" collapsed="false">
      <c r="A8" s="2" t="n">
        <v>7</v>
      </c>
      <c r="B8" s="3"/>
      <c r="C8" s="4" t="n">
        <v>50.55</v>
      </c>
      <c r="D8" s="2" t="n">
        <v>1280</v>
      </c>
      <c r="E8" s="5" t="n">
        <f aca="false">Notes!$B$5/D8</f>
        <v>1</v>
      </c>
      <c r="F8" s="4" t="n">
        <v>0.68</v>
      </c>
      <c r="G8" s="6" t="n">
        <f aca="false">C8+F8*IF(E8&gt;=0.75,-1,MIN(0,SIN(2*PI()*E8)))</f>
        <v>49.87</v>
      </c>
      <c r="H8" s="6" t="n">
        <f aca="false">C8+F8*IF(E8&gt;=0.25,1,SIN(2*PI()*E8))</f>
        <v>51.23</v>
      </c>
      <c r="I8" s="2" t="n">
        <v>312.794696376031</v>
      </c>
      <c r="J8" s="7"/>
      <c r="K8" s="8" t="str">
        <f aca="false">IF(AND(ISNUMBER(J8),ISNUMBER(I8)),J8-I8,"")</f>
        <v/>
      </c>
      <c r="L8" s="2" t="n">
        <v>1161.08798987177</v>
      </c>
      <c r="M8" s="7"/>
      <c r="N8" s="8" t="str">
        <f aca="false">IF(AND(ISNUMBER(M8),ISNUMBER(L8)),M8-L8,"")</f>
        <v/>
      </c>
      <c r="O8" s="4" t="n">
        <v>7.66023</v>
      </c>
      <c r="P8" s="9"/>
      <c r="Q8" s="5" t="str">
        <f aca="false">IF(AND(ISNUMBER(P8),ISNUMBER(O8)),P8-O8,"")</f>
        <v/>
      </c>
      <c r="R8" s="10" t="n">
        <v>612.727627704531</v>
      </c>
      <c r="S8" s="9"/>
      <c r="T8" s="11" t="str">
        <f aca="false">IF(AND(ISNUMBER(S8),ISNUMBER(R8)),IF(S8&lt;&gt;0,R8/S8,""),"")</f>
        <v/>
      </c>
      <c r="U8" s="12" t="str">
        <f aca="false">IF(COUNT(S$2:S$11)=ROWS(S$2:S$11),RANK(R8,R$2:R$11,1)-RANK(S8,S$2:S$11,1),"")</f>
        <v/>
      </c>
      <c r="V8" s="13"/>
      <c r="W8" s="13"/>
      <c r="X8" s="14"/>
      <c r="Y8" s="15"/>
      <c r="Z8" s="16" t="str">
        <f aca="false">"set2_pt"&amp;A8&amp;".vtk"</f>
        <v>set2_pt7.vtk</v>
      </c>
    </row>
    <row r="9" customFormat="false" ht="111.75" hidden="false" customHeight="true" outlineLevel="0" collapsed="false">
      <c r="A9" s="2" t="n">
        <v>8</v>
      </c>
      <c r="B9" s="3"/>
      <c r="C9" s="4" t="n">
        <v>50.55</v>
      </c>
      <c r="D9" s="2" t="n">
        <v>1040</v>
      </c>
      <c r="E9" s="5" t="n">
        <f aca="false">Notes!$B$5/D9</f>
        <v>1.23076923076923</v>
      </c>
      <c r="F9" s="4" t="n">
        <v>0.56</v>
      </c>
      <c r="G9" s="6" t="n">
        <f aca="false">C9+F9*IF(E9&gt;=0.75,-1,MIN(0,SIN(2*PI()*E9)))</f>
        <v>49.99</v>
      </c>
      <c r="H9" s="6" t="n">
        <f aca="false">C9+F9*IF(E9&gt;=0.25,1,SIN(2*PI()*E9))</f>
        <v>51.11</v>
      </c>
      <c r="I9" s="2" t="n">
        <v>312.794696376031</v>
      </c>
      <c r="J9" s="7"/>
      <c r="K9" s="8" t="str">
        <f aca="false">IF(AND(ISNUMBER(J9),ISNUMBER(I9)),J9-I9,"")</f>
        <v/>
      </c>
      <c r="L9" s="2" t="n">
        <v>1161.74939305885</v>
      </c>
      <c r="M9" s="7"/>
      <c r="N9" s="8" t="str">
        <f aca="false">IF(AND(ISNUMBER(M9),ISNUMBER(L9)),M9-L9,"")</f>
        <v/>
      </c>
      <c r="O9" s="4" t="n">
        <v>7.660533</v>
      </c>
      <c r="P9" s="9"/>
      <c r="Q9" s="5" t="str">
        <f aca="false">IF(AND(ISNUMBER(P9),ISNUMBER(O9)),P9-O9,"")</f>
        <v/>
      </c>
      <c r="R9" s="10" t="n">
        <v>613.002453735894</v>
      </c>
      <c r="S9" s="9"/>
      <c r="T9" s="11" t="str">
        <f aca="false">IF(AND(ISNUMBER(S9),ISNUMBER(R9)),IF(S9&lt;&gt;0,R9/S9,""),"")</f>
        <v/>
      </c>
      <c r="U9" s="12" t="str">
        <f aca="false">IF(COUNT(S$2:S$11)=ROWS(S$2:S$11),RANK(R9,R$2:R$11,1)-RANK(S9,S$2:S$11,1),"")</f>
        <v/>
      </c>
      <c r="V9" s="13"/>
      <c r="W9" s="13"/>
      <c r="X9" s="14"/>
      <c r="Y9" s="15"/>
      <c r="Z9" s="16" t="str">
        <f aca="false">"set2_pt"&amp;A9&amp;".vtk"</f>
        <v>set2_pt8.vtk</v>
      </c>
    </row>
    <row r="10" customFormat="false" ht="111.75" hidden="false" customHeight="true" outlineLevel="0" collapsed="false">
      <c r="A10" s="2" t="n">
        <v>9</v>
      </c>
      <c r="B10" s="3"/>
      <c r="C10" s="4" t="n">
        <v>50.55</v>
      </c>
      <c r="D10" s="2" t="n">
        <v>720</v>
      </c>
      <c r="E10" s="5" t="n">
        <f aca="false">Notes!$B$5/D10</f>
        <v>1.77777777777778</v>
      </c>
      <c r="F10" s="4" t="n">
        <v>0.6</v>
      </c>
      <c r="G10" s="6" t="n">
        <f aca="false">C10+F10*IF(E10&gt;=0.75,-1,MIN(0,SIN(2*PI()*E10)))</f>
        <v>49.95</v>
      </c>
      <c r="H10" s="6" t="n">
        <f aca="false">C10+F10*IF(E10&gt;=0.25,1,SIN(2*PI()*E10))</f>
        <v>51.15</v>
      </c>
      <c r="I10" s="2" t="n">
        <v>365.193909930287</v>
      </c>
      <c r="J10" s="7"/>
      <c r="K10" s="8" t="str">
        <f aca="false">IF(AND(ISNUMBER(J10),ISNUMBER(I10)),J10-I10,"")</f>
        <v/>
      </c>
      <c r="L10" s="2" t="n">
        <v>1153.32150850965</v>
      </c>
      <c r="M10" s="7"/>
      <c r="N10" s="8" t="str">
        <f aca="false">IF(AND(ISNUMBER(M10),ISNUMBER(L10)),M10-L10,"")</f>
        <v/>
      </c>
      <c r="O10" s="4" t="n">
        <v>7.677769</v>
      </c>
      <c r="P10" s="9"/>
      <c r="Q10" s="5" t="str">
        <f aca="false">IF(AND(ISNUMBER(P10),ISNUMBER(O10)),P10-O10,"")</f>
        <v/>
      </c>
      <c r="R10" s="10" t="n">
        <v>646.382176644298</v>
      </c>
      <c r="S10" s="9"/>
      <c r="T10" s="11" t="str">
        <f aca="false">IF(AND(ISNUMBER(S10),ISNUMBER(R10)),IF(S10&lt;&gt;0,R10/S10,""),"")</f>
        <v/>
      </c>
      <c r="U10" s="12" t="str">
        <f aca="false">IF(COUNT(S$2:S$11)=ROWS(S$2:S$11),RANK(R10,R$2:R$11,1)-RANK(S10,S$2:S$11,1),"")</f>
        <v/>
      </c>
      <c r="V10" s="13"/>
      <c r="W10" s="13"/>
      <c r="X10" s="14"/>
      <c r="Y10" s="15"/>
      <c r="Z10" s="16" t="str">
        <f aca="false">"set2_pt"&amp;A10&amp;".vtk"</f>
        <v>set2_pt9.vtk</v>
      </c>
    </row>
    <row r="11" customFormat="false" ht="111.75" hidden="false" customHeight="true" outlineLevel="0" collapsed="false">
      <c r="A11" s="2" t="n">
        <v>10</v>
      </c>
      <c r="B11" s="3"/>
      <c r="C11" s="4" t="n">
        <v>50.55</v>
      </c>
      <c r="D11" s="2" t="n">
        <v>720</v>
      </c>
      <c r="E11" s="5" t="n">
        <f aca="false">Notes!$B$5/D11</f>
        <v>1.77777777777778</v>
      </c>
      <c r="F11" s="4" t="n">
        <v>0.04</v>
      </c>
      <c r="G11" s="6" t="n">
        <f aca="false">C11+F11*IF(E11&gt;=0.75,-1,MIN(0,SIN(2*PI()*E11)))</f>
        <v>50.51</v>
      </c>
      <c r="H11" s="6" t="n">
        <f aca="false">C11+F11*IF(E11&gt;=0.25,1,SIN(2*PI()*E11))</f>
        <v>50.59</v>
      </c>
      <c r="I11" s="2" t="n">
        <v>365.193909930287</v>
      </c>
      <c r="J11" s="7"/>
      <c r="K11" s="8" t="str">
        <f aca="false">IF(AND(ISNUMBER(J11),ISNUMBER(I11)),J11-I11,"")</f>
        <v/>
      </c>
      <c r="L11" s="2" t="n">
        <v>1147.99922817314</v>
      </c>
      <c r="M11" s="7"/>
      <c r="N11" s="8" t="str">
        <f aca="false">IF(AND(ISNUMBER(M11),ISNUMBER(L11)),M11-L11,"")</f>
        <v/>
      </c>
      <c r="O11" s="4" t="n">
        <v>7.680507</v>
      </c>
      <c r="P11" s="9"/>
      <c r="Q11" s="5" t="str">
        <f aca="false">IF(AND(ISNUMBER(P11),ISNUMBER(O11)),P11-O11,"")</f>
        <v/>
      </c>
      <c r="R11" s="10" t="n">
        <v>655.711579058753</v>
      </c>
      <c r="S11" s="9"/>
      <c r="T11" s="11" t="str">
        <f aca="false">IF(AND(ISNUMBER(S11),ISNUMBER(R11)),IF(S11&lt;&gt;0,R11/S11,""),"")</f>
        <v/>
      </c>
      <c r="U11" s="12" t="str">
        <f aca="false">IF(COUNT(S$2:S$11)=ROWS(S$2:S$11),RANK(R11,R$2:R$11,1)-RANK(S11,S$2:S$11,1),"")</f>
        <v/>
      </c>
      <c r="V11" s="13"/>
      <c r="W11" s="13"/>
      <c r="X11" s="14"/>
      <c r="Y11" s="15"/>
      <c r="Z11" s="16" t="str">
        <f aca="false">"set2_pt"&amp;A11&amp;".vtk"</f>
        <v>set2_pt10.vtk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10"/>
  </cols>
  <sheetData>
    <row r="1" customFormat="false" ht="15" hidden="false" customHeight="false" outlineLevel="0" collapsed="false">
      <c r="A1" s="17" t="s">
        <v>25</v>
      </c>
    </row>
    <row r="2" customFormat="false" ht="15" hidden="false" customHeight="false" outlineLevel="0" collapsed="false">
      <c r="A2" s="18" t="s">
        <v>26</v>
      </c>
    </row>
    <row r="3" customFormat="false" ht="15" hidden="false" customHeight="false" outlineLevel="0" collapsed="false">
      <c r="A3" s="19" t="s">
        <v>27</v>
      </c>
    </row>
    <row r="4" customFormat="false" ht="30" hidden="false" customHeight="true" outlineLevel="0" collapsed="false">
      <c r="A4" s="20" t="s">
        <v>28</v>
      </c>
      <c r="B4" s="21" t="n">
        <v>640</v>
      </c>
      <c r="C4" s="20" t="s">
        <v>29</v>
      </c>
    </row>
    <row r="5" customFormat="false" ht="30" hidden="false" customHeight="true" outlineLevel="0" collapsed="false">
      <c r="A5" s="20" t="s">
        <v>30</v>
      </c>
      <c r="B5" s="21" t="n">
        <v>1280</v>
      </c>
      <c r="C5" s="20" t="s">
        <v>31</v>
      </c>
    </row>
    <row r="7" customFormat="false" ht="15" hidden="false" customHeight="false" outlineLevel="0" collapsed="false">
      <c r="A7" s="19" t="s">
        <v>32</v>
      </c>
    </row>
    <row r="8" customFormat="false" ht="16.5" hidden="false" customHeight="true" outlineLevel="0" collapsed="false">
      <c r="A8" s="22" t="s">
        <v>33</v>
      </c>
      <c r="C8" s="20" t="s">
        <v>34</v>
      </c>
    </row>
    <row r="9" customFormat="false" ht="16.5" hidden="false" customHeight="true" outlineLevel="0" collapsed="false">
      <c r="A9" s="23" t="s">
        <v>35</v>
      </c>
      <c r="C9" s="20" t="s">
        <v>36</v>
      </c>
    </row>
    <row r="10" customFormat="false" ht="30" hidden="false" customHeight="true" outlineLevel="0" collapsed="false">
      <c r="A10" s="24" t="s">
        <v>37</v>
      </c>
      <c r="C10" s="20" t="s">
        <v>38</v>
      </c>
    </row>
    <row r="12" customFormat="false" ht="15" hidden="false" customHeight="false" outlineLevel="0" collapsed="false">
      <c r="A12" s="19" t="s">
        <v>39</v>
      </c>
    </row>
    <row r="13" customFormat="false" ht="30" hidden="false" customHeight="true" outlineLevel="0" collapsed="false">
      <c r="A13" s="25" t="s">
        <v>40</v>
      </c>
      <c r="C13" s="20" t="s">
        <v>41</v>
      </c>
    </row>
    <row r="14" customFormat="false" ht="16.5" hidden="false" customHeight="true" outlineLevel="0" collapsed="false">
      <c r="A14" s="25" t="s">
        <v>42</v>
      </c>
      <c r="C14" s="20" t="s">
        <v>43</v>
      </c>
    </row>
    <row r="15" customFormat="false" ht="57" hidden="false" customHeight="true" outlineLevel="0" collapsed="false">
      <c r="A15" s="25" t="s">
        <v>44</v>
      </c>
      <c r="C15" s="20" t="s">
        <v>45</v>
      </c>
    </row>
    <row r="16" customFormat="false" ht="30" hidden="false" customHeight="true" outlineLevel="0" collapsed="false">
      <c r="A16" s="25" t="s">
        <v>46</v>
      </c>
      <c r="C16" s="20" t="s">
        <v>47</v>
      </c>
    </row>
    <row r="17" customFormat="false" ht="30" hidden="false" customHeight="true" outlineLevel="0" collapsed="false">
      <c r="A17" s="25" t="s">
        <v>48</v>
      </c>
      <c r="C17" s="20" t="s">
        <v>49</v>
      </c>
    </row>
    <row r="18" customFormat="false" ht="30" hidden="false" customHeight="true" outlineLevel="0" collapsed="false">
      <c r="A18" s="25" t="s">
        <v>50</v>
      </c>
      <c r="C18" s="20" t="s">
        <v>51</v>
      </c>
    </row>
    <row r="19" customFormat="false" ht="16.5" hidden="false" customHeight="true" outlineLevel="0" collapsed="false">
      <c r="A19" s="25" t="s">
        <v>18</v>
      </c>
      <c r="C19" s="20" t="s">
        <v>52</v>
      </c>
    </row>
    <row r="20" customFormat="false" ht="43.5" hidden="false" customHeight="true" outlineLevel="0" collapsed="false">
      <c r="A20" s="25" t="s">
        <v>19</v>
      </c>
      <c r="C20" s="20" t="s">
        <v>53</v>
      </c>
    </row>
    <row r="21" customFormat="false" ht="30" hidden="false" customHeight="true" outlineLevel="0" collapsed="false">
      <c r="A21" s="25" t="s">
        <v>24</v>
      </c>
      <c r="C21" s="20" t="s">
        <v>54</v>
      </c>
    </row>
    <row r="22" customFormat="false" ht="30" hidden="false" customHeight="true" outlineLevel="0" collapsed="false">
      <c r="A22" s="25" t="s">
        <v>1</v>
      </c>
      <c r="C22" s="20" t="s">
        <v>55</v>
      </c>
    </row>
    <row r="24" customFormat="false" ht="15" hidden="false" customHeight="false" outlineLevel="0" collapsed="false">
      <c r="A24" s="19" t="s">
        <v>56</v>
      </c>
    </row>
    <row r="25" customFormat="false" ht="15" hidden="false" customHeight="false" outlineLevel="0" collapsed="false">
      <c r="A25" s="20" t="s">
        <v>57</v>
      </c>
      <c r="C25" s="20" t="s">
        <v>58</v>
      </c>
    </row>
    <row r="26" customFormat="false" ht="15" hidden="false" customHeight="false" outlineLevel="0" collapsed="false">
      <c r="A26" s="20" t="s">
        <v>8</v>
      </c>
      <c r="B26" s="26" t="n">
        <v>572</v>
      </c>
    </row>
    <row r="27" customFormat="false" ht="15" hidden="false" customHeight="false" outlineLevel="0" collapsed="false">
      <c r="A27" s="20" t="s">
        <v>11</v>
      </c>
      <c r="B27" s="26" t="n">
        <v>796</v>
      </c>
    </row>
    <row r="28" customFormat="false" ht="15" hidden="false" customHeight="false" outlineLevel="0" collapsed="false">
      <c r="A28" s="20" t="s">
        <v>14</v>
      </c>
      <c r="B28" s="27" t="n">
        <v>4.95</v>
      </c>
    </row>
    <row r="29" customFormat="false" ht="15" hidden="false" customHeight="false" outlineLevel="0" collapsed="false">
      <c r="A29" s="20" t="s">
        <v>17</v>
      </c>
      <c r="B29" s="27" t="n">
        <v>5.57</v>
      </c>
    </row>
    <row r="30" customFormat="false" ht="15" hidden="false" customHeight="false" outlineLevel="0" collapsed="false">
      <c r="A30" s="20" t="s">
        <v>20</v>
      </c>
      <c r="B30" s="28" t="n">
        <v>0.931</v>
      </c>
    </row>
    <row r="31" customFormat="false" ht="15" hidden="false" customHeight="false" outlineLevel="0" collapsed="false">
      <c r="A31" s="20" t="s">
        <v>21</v>
      </c>
      <c r="B31" s="28" t="n">
        <v>0.618</v>
      </c>
    </row>
    <row r="32" customFormat="false" ht="15" hidden="false" customHeight="false" outlineLevel="0" collapsed="false">
      <c r="A32" s="20" t="s">
        <v>22</v>
      </c>
      <c r="B32" s="29" t="n">
        <v>0.000178</v>
      </c>
    </row>
    <row r="34" customFormat="false" ht="15" hidden="false" customHeight="false" outlineLevel="0" collapsed="false">
      <c r="A34" s="19" t="s">
        <v>59</v>
      </c>
    </row>
    <row r="35" customFormat="false" ht="30" hidden="false" customHeight="true" outlineLevel="0" collapsed="false">
      <c r="A35" s="20" t="s">
        <v>60</v>
      </c>
      <c r="C35" s="20" t="s">
        <v>61</v>
      </c>
    </row>
    <row r="36" customFormat="false" ht="30" hidden="false" customHeight="true" outlineLevel="0" collapsed="false">
      <c r="A36" s="20" t="s">
        <v>60</v>
      </c>
      <c r="C36" s="20" t="s">
        <v>62</v>
      </c>
    </row>
    <row r="37" customFormat="false" ht="16.5" hidden="false" customHeight="true" outlineLevel="0" collapsed="false">
      <c r="A37" s="20" t="s">
        <v>60</v>
      </c>
      <c r="C37" s="20" t="s">
        <v>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2026-10-07T18:26:42Z</dcterms:created>
  <dc:creator>openpyxl</dc:creator>
  <dc:description/>
  <dc:language>en-US</dc:language>
  <cp:lastModifiedBy/>
  <dcterms:modified xsi:type="dcterms:W3CDTF">2026-10-07T18:26:42Z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