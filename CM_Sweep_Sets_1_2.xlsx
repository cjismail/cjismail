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xl/media/image17.png" ContentType="image/png"/>
  <Override PartName="/xl/media/image8.png" ContentType="image/png"/>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t 1" sheetId="1" state="visible" r:id="rId3"/>
    <sheet name="Set 2" sheetId="2" state="visible" r:id="rId4"/>
    <sheet name="Combined" sheetId="3" state="visible" r:id="rId5"/>
    <sheet name="Charts" sheetId="4" state="visible" r:id="rId6"/>
    <sheet name="Notes"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once the sampled field holds &gt;= 0.75 waves; with fewer, the lowest value reached: avg (y = 0) or the sine value at the last sample (y = L - dx), whichever is lower. L and dx are on the Notes sheet.</t>
        </r>
      </text>
    </comment>
    <comment ref="H1" authorId="0">
      <text>
        <r>
          <rPr>
            <sz val="10"/>
            <rFont val="Arial"/>
            <family val="2"/>
          </rPr>
          <t xml:space="preserve">avg + amp once the sampled field holds &gt;= 0.25 waves, otherwise the sine value at the last sample (y = L - dx, the highest value reached). L and dx are on the Notes sheet.</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Aum's path pattern set&lt;N&gt;_CM/fields/point&lt;NN&gt;_wv&lt;lambda&gt;nm_amp&lt;amp&gt;pct.vtk. sine.m writes names like set2_pt7.vtk; overwrite with the real file name if yours differ.</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once the sampled field holds &gt;= 0.75 waves; with fewer, the lowest value reached: avg (y = 0) or the sine value at the last sample (y = L - dx), whichever is lower. L and dx are on the Notes sheet.</t>
        </r>
      </text>
    </comment>
    <comment ref="H1" authorId="0">
      <text>
        <r>
          <rPr>
            <sz val="10"/>
            <rFont val="Arial"/>
            <family val="2"/>
          </rPr>
          <t xml:space="preserve">avg + amp once the sampled field holds &gt;= 0.25 waves, otherwise the sine value at the last sample (y = L - dx, the highest value reached). L and dx are on the Notes sheet.</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Aum's path pattern set&lt;N&gt;_CM/fields/point&lt;NN&gt;_wv&lt;lambda&gt;nm_amp&lt;amp&gt;pct.vtk. sine.m writes names like set2_pt7.vtk; overwrite with the real file name if yours differ.</t>
        </r>
      </text>
    </comment>
  </commentList>
</comments>
</file>

<file path=xl/sharedStrings.xml><?xml version="1.0" encoding="utf-8"?>
<sst xmlns="http://schemas.openxmlformats.org/spreadsheetml/2006/main" count="171" uniqueCount="95">
  <si>
    <t xml:space="preserve">Point</t>
  </si>
  <si>
    <t xml:space="preserve">CM render</t>
  </si>
  <si>
    <t xml:space="preserve">avg ⟨c⟩ (%)</t>
  </si>
  <si>
    <t xml:space="preserve">λ (nm)</t>
  </si>
  <si>
    <t xml:space="preserve">amp (±%)</t>
  </si>
  <si>
    <t xml:space="preserve">c min (%)</t>
  </si>
  <si>
    <t xml:space="preserve">c max (%)</t>
  </si>
  <si>
    <t xml:space="preserve">ML V1 stress</t>
  </si>
  <si>
    <t xml:space="preserve">SIM V1 stress</t>
  </si>
  <si>
    <t xml:space="preserve">Δ V1</t>
  </si>
  <si>
    <t xml:space="preserve">ML V3 stress</t>
  </si>
  <si>
    <t xml:space="preserve">SIM V3 stress</t>
  </si>
  <si>
    <t xml:space="preserve">Δ V3</t>
  </si>
  <si>
    <t xml:space="preserve">ML strain range</t>
  </si>
  <si>
    <t xml:space="preserve">SIM strain range</t>
  </si>
  <si>
    <t xml:space="preserve">Δ strain (pp)</t>
  </si>
  <si>
    <t xml:space="preserve">ML loop area</t>
  </si>
  <si>
    <t xml:space="preserve">SIM loop area</t>
  </si>
  <si>
    <t xml:space="preserve">ML/SIM loop ratio</t>
  </si>
  <si>
    <t xml:space="preserve">loop rank Δ</t>
  </si>
  <si>
    <t xml:space="preserve">SIM max vf</t>
  </si>
  <si>
    <t xml:space="preserve">SIM cliff Δvf</t>
  </si>
  <si>
    <t xml:space="preserve">SIM residual strain</t>
  </si>
  <si>
    <t xml:space="preserve">SIM notes</t>
  </si>
  <si>
    <t xml:space="preserve">CM field (.vtk)</t>
  </si>
  <si>
    <t xml:space="preserve">Set</t>
  </si>
  <si>
    <t xml:space="preserve">waves / L</t>
  </si>
  <si>
    <t xml:space="preserve">Set 1</t>
  </si>
  <si>
    <t xml:space="preserve">Set 2</t>
  </si>
  <si>
    <t xml:space="preserve">Pearson r, ML vs SIM (blank until at least 3 points have a SIM value)</t>
  </si>
  <si>
    <t xml:space="preserve">Metric</t>
  </si>
  <si>
    <t xml:space="preserve">n Set 1</t>
  </si>
  <si>
    <t xml:space="preserve">r Set 1</t>
  </si>
  <si>
    <t xml:space="preserve">n Set 2</t>
  </si>
  <si>
    <t xml:space="preserve">r Set 2</t>
  </si>
  <si>
    <t xml:space="preserve">n all</t>
  </si>
  <si>
    <t xml:space="preserve">r all</t>
  </si>
  <si>
    <t xml:space="preserve">V1 stress</t>
  </si>
  <si>
    <t xml:space="preserve">V3 stress</t>
  </si>
  <si>
    <t xml:space="preserve">Strain range</t>
  </si>
  <si>
    <t xml:space="preserve">Loop area</t>
  </si>
  <si>
    <t xml:space="preserve">ML vs SIM scatter plots</t>
  </si>
  <si>
    <t xml:space="preserve">Points appear as SIM values are filled in on the Set sheets. Stress-strain curves will be added once the raw cycle data is available.</t>
  </si>
  <si>
    <t xml:space="preserve">CM sweep, Sets 1 and 2: notes, assumptions and legend</t>
  </si>
  <si>
    <t xml:space="preserve">Layout follows Aum's 2D sweep sheet. ML columns, avg/λ/amp and renders are filled in; SIM columns are blank until the 3D results are added.</t>
  </si>
  <si>
    <t xml:space="preserve">Parameters (edit here)</t>
  </si>
  <si>
    <t xml:space="preserve">Set 1 domain length L (nm)</t>
  </si>
  <si>
    <t xml:space="preserve">Assumption: taken from the 'waves / 640 nm' header in Aum's 2D sweep sheet; the Set 1 renders agree (stripe count = 640/λ).</t>
  </si>
  <si>
    <t xml:space="preserve">Set 2 domain length L (nm)</t>
  </si>
  <si>
    <t xml:space="preserve">Assumption: set to 640 because all 10 Set 2 renders show 640/λ waves (e.g. λ = 640 shows one wave, λ = 80 shows eight). sine.m (Ny = 1280, wv = 1280 for set2_pt7) points to 1280 instead, so the two disagree. Confirm which grid set 2 used; changing this cell updates waves, c min and c max (check the grid spacing in B7 too).</t>
  </si>
  <si>
    <t xml:space="preserve">Legend</t>
  </si>
  <si>
    <t xml:space="preserve">Blue text</t>
  </si>
  <si>
    <t xml:space="preserve">Hardcoded input (Shanghai ML values, avg, λ, amp, or a value you type in).</t>
  </si>
  <si>
    <t xml:space="preserve">Black text, grey fill</t>
  </si>
  <si>
    <t xml:space="preserve">Formula. Do not overwrite.</t>
  </si>
  <si>
    <t xml:space="preserve">Blue text, yellow fill</t>
  </si>
  <si>
    <t xml:space="preserve">Cell to fill in: the SIM columns. Everything that depends on them (Δ columns, loop ratio, loop rank Δ, Combined, Charts) fills itself in. Leave a cell empty if there is no value: text such as n/a can plot as 0 in Excel charts, and Combined only passes numbers through.</t>
  </si>
  <si>
    <t xml:space="preserve">Green text</t>
  </si>
  <si>
    <t xml:space="preserve">Link to another sheet (the Combined tab). Do not overwrite.</t>
  </si>
  <si>
    <t xml:space="preserve">Do not sort or filter</t>
  </si>
  <si>
    <t xml:space="preserve">The renders are floating pictures anchored to rows 2–11, so they will not follow their rows if the table is sorted. Copy the values elsewhere to sort.</t>
  </si>
  <si>
    <t xml:space="preserve">Column definitions</t>
  </si>
  <si>
    <t xml:space="preserve">avg, λ, amp</t>
  </si>
  <si>
    <t xml:space="preserve">From set1.csv / set2.csv (Shanghai ML inputs). Float noise removed: 50.99999999999994 → 51.00, 0.39999999999999997 → 0.40, 0.6000000000000001 → 0.60.</t>
  </si>
  <si>
    <t xml:space="preserve">waves / L nm</t>
  </si>
  <si>
    <t xml:space="preserve">L ÷ λ, with L from the parameters above.</t>
  </si>
  <si>
    <t xml:space="preserve">c min, c max</t>
  </si>
  <si>
    <t xml:space="preserve">c min = avg − amp once the sampled field holds 0.75 waves; with fewer, the lowest value reached (avg at y = 0, or the sine value at the last sample if that is lower). c max = avg + amp once it holds 0.25 waves. The last sample sits at L − dx (dx = grid spacing, rows 6–7 above). Closed-form estimate of the field built in sine.m (c = avg + amp·sin(2πy/λ)); exact when λ is a multiple of 4·dx (true for every current point), otherwise the sampled extremes can sit slightly inside avg ± amp. With dx = 5 nm it reproduces every c min and c max in Aum's sheet, including 50.558 for set 1 point 2 (960 nm in 640 nm, last sample at 635 nm).</t>
  </si>
  <si>
    <t xml:space="preserve">ML V1 / V3 stress, strain range, loop area</t>
  </si>
  <si>
    <t xml:space="preserve">Shanghai ML predictions, copied from the CSVs at full precision (15 significant digits). Units are not stated in the source files.</t>
  </si>
  <si>
    <t xml:space="preserve">SIM columns</t>
  </si>
  <si>
    <t xml:space="preserve">Blank. To be filled from the 3D phase-field cycles. Exact definitions (V1/V3 transformation stress, loop area, max vf, cliff Δvf, residual strain) to be confirmed against the post-processing scripts.</t>
  </si>
  <si>
    <t xml:space="preserve">Δ V1, Δ V3, Δ strain (pp)</t>
  </si>
  <si>
    <t xml:space="preserve">SIM − ML on the stored values. Blank until the SIM value is filled in. Aum's displayed Δ values come from unrounded SIM numbers, so typing his rounded values can differ by 1 (572 − 1421.16 = −849, his sheet shows −850).</t>
  </si>
  <si>
    <t xml:space="preserve">ML loop area ÷ SIM loop area.</t>
  </si>
  <si>
    <t xml:space="preserve">Rank of ML loop area minus rank of SIM loop area, both ascending within the 10 points of the set. Shown only when all 10 SIM loop areas are filled in. Reverse-engineered from Aum's sample, where it reproduces all 10 values.</t>
  </si>
  <si>
    <t xml:space="preserve">Aum's path pattern: set&lt;N&gt;_CM/fields/point&lt;NN&gt;_wv&lt;λ&gt;nm_amp&lt;amp&gt;pct.vtk (λ as an integer, amp with 2 decimals). Copied from his sheet for set 1 and extended to set 2 (the set 2 paths are not evidence-based). sine.m itself writes names like 'set2_pt7.vtk'; overwrite the formula if your files use those.</t>
  </si>
  <si>
    <t xml:space="preserve">Combined sheet</t>
  </si>
  <si>
    <t xml:space="preserve">Sets 1 and 2 stacked into 20 rows. Columns B–U of the 20-row table are links to the Set sheets (green text); only the Set label in column A is typed. SIM-dependent cells stay blank until a numeric SIM value exists (text or error values are ignored). The Pearson block is calculated. Below the table, Pearson r between each ML metric and its SIM value, per set and for all 20 points; it needs at least 3 points with a SIM value. With so few points r is only indicative.</t>
  </si>
  <si>
    <t xml:space="preserve">Charts sheet</t>
  </si>
  <si>
    <t xml:space="preserve">Scatter plots of ML (x) against SIM (y) for V1, V3, strain range and loop area, one series per set. They read the Set sheets directly, so points appear as SIM values are filled in. Stress-strain curves are not here yet; they need the raw cycle data.</t>
  </si>
  <si>
    <t xml:space="preserve">ParaView renders from VTK_Field_Report.xlsx, one per point. They appear to be auto-scaled to each field's own range, so amplitude differences between points are not visible.</t>
  </si>
  <si>
    <t xml:space="preserve">Format example for the SIM columns (illustrative only)</t>
  </si>
  <si>
    <t xml:space="preserve">Source of the example values</t>
  </si>
  <si>
    <t xml:space="preserve">Aum's 2D sweep sheet, set 1 point 1. Shown only so you can see the expected number format; it is not entered in the Set 1 sheet.</t>
  </si>
  <si>
    <t xml:space="preserve">Open items</t>
  </si>
  <si>
    <t xml:space="preserve">•</t>
  </si>
  <si>
    <t xml:space="preserve">Report 2: the whole of set 1 is being re-run at about triple the stress resolution, so set 1 SIM values will change once that finishes.</t>
  </si>
  <si>
    <t xml:space="preserve">Report 2: set 2 will need its own load steps (its 0.04% amplitude point is close to a uniform composition).</t>
  </si>
  <si>
    <t xml:space="preserve">Confirm the set 2 domain length (B5) and grid spacing (B7), and that the .vtk paths match your folders.</t>
  </si>
  <si>
    <t xml:space="preserve">Stress-strain curves and any 2D / pseudo-2D comparison tabs are not built: they need the raw cycle data and 2D results.</t>
  </si>
  <si>
    <t xml:space="preserve">Set 1 grid spacing dx (nm)</t>
  </si>
  <si>
    <t xml:space="preserve">Inferred from Aum's sheet: only his c min for set 1 point 2 (50.558) depends on dx. It fits a last sample at 635 nm, so 5 nm steps (128 points over 640 nm) is the natural choice (or 2.5 nm if his grid also resets its last slice to avg); any step from about 4.5 to 5.0 nm gives the same displayed value. Used for c min and c max only.</t>
  </si>
  <si>
    <t xml:space="preserve">Set 2 grid spacing dx (nm)</t>
  </si>
  <si>
    <t xml:space="preserve">Assumption: 0.5 nm = 640 nm over 1280 grid points. sine.m has Ny = 1280 points and writes SPACING 1 1 1 with no unit; read literally that is L = 1280 and dx = 1, so 0.5 nm follows from the L = 640 assumption in B5. dx only matters when the last sample falls before the crest (0.25 wave, c max) or the trough (0.75 wave, c min); at L = 640 that is set 2 point 8, whose c min moves by 0.001. sine.m also resets the last slice to avg, which would move it by a further 0.001. Change this together with B5.</t>
  </si>
</sst>
</file>

<file path=xl/styles.xml><?xml version="1.0" encoding="utf-8"?>
<styleSheet xmlns="http://schemas.openxmlformats.org/spreadsheetml/2006/main">
  <numFmts count="8">
    <numFmt numFmtId="164" formatCode="General"/>
    <numFmt numFmtId="165" formatCode="0"/>
    <numFmt numFmtId="166" formatCode="0.00"/>
    <numFmt numFmtId="167" formatCode="0.000"/>
    <numFmt numFmtId="168" formatCode="0.0"/>
    <numFmt numFmtId="169" formatCode="\+0;\-0;\+0"/>
    <numFmt numFmtId="170" formatCode="0.000000"/>
    <numFmt numFmtId="171" formatCode="@"/>
  </numFmts>
  <fonts count="15">
    <font>
      <sz val="10"/>
      <name val="Arial"/>
      <family val="0"/>
      <charset val="1"/>
    </font>
    <font>
      <sz val="10"/>
      <name val="Arial"/>
      <family val="0"/>
    </font>
    <font>
      <sz val="10"/>
      <name val="Arial"/>
      <family val="0"/>
    </font>
    <font>
      <sz val="10"/>
      <name val="Arial"/>
      <family val="0"/>
    </font>
    <font>
      <b val="true"/>
      <sz val="10"/>
      <color rgb="FFFFFFFF"/>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name val="Arial"/>
      <family val="0"/>
      <charset val="1"/>
    </font>
    <font>
      <b val="true"/>
      <sz val="12"/>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6" fontId="6" fillId="3" borderId="1" xfId="0" applyFont="true" applyBorder="true" applyAlignment="true" applyProtection="false">
      <alignment horizontal="center" vertical="center" textRotation="0" wrapText="false" indent="0" shrinkToFit="false"/>
      <protection locked="true" hidden="false"/>
    </xf>
    <xf numFmtId="167" fontId="6" fillId="3" borderId="1" xfId="0" applyFont="true" applyBorder="true" applyAlignment="true" applyProtection="false">
      <alignment horizontal="center" vertical="center" textRotation="0" wrapText="false" indent="0" shrinkToFit="false"/>
      <protection locked="true" hidden="false"/>
    </xf>
    <xf numFmtId="165" fontId="5" fillId="4" borderId="1" xfId="0" applyFont="true" applyBorder="true" applyAlignment="true" applyProtection="false">
      <alignment horizontal="center" vertical="center" textRotation="0" wrapText="false" indent="0" shrinkToFit="false"/>
      <protection locked="true" hidden="false"/>
    </xf>
    <xf numFmtId="165" fontId="6" fillId="3" borderId="1" xfId="0" applyFont="true" applyBorder="true" applyAlignment="true" applyProtection="false">
      <alignment horizontal="center" vertical="center" textRotation="0" wrapText="false" indent="0" shrinkToFit="false"/>
      <protection locked="true" hidden="false"/>
    </xf>
    <xf numFmtId="166" fontId="5" fillId="4" borderId="1" xfId="0" applyFont="true" applyBorder="true" applyAlignment="true" applyProtection="false">
      <alignment horizontal="center"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8" fontId="6" fillId="3" borderId="1" xfId="0" applyFont="true" applyBorder="true" applyAlignment="true" applyProtection="false">
      <alignment horizontal="center" vertical="center" textRotation="0" wrapText="false" indent="0" shrinkToFit="false"/>
      <protection locked="true" hidden="false"/>
    </xf>
    <xf numFmtId="169" fontId="6" fillId="3" borderId="1" xfId="0" applyFont="true" applyBorder="true" applyAlignment="true" applyProtection="false">
      <alignment horizontal="center" vertical="center" textRotation="0" wrapText="false" indent="0" shrinkToFit="false"/>
      <protection locked="true" hidden="false"/>
    </xf>
    <xf numFmtId="167" fontId="5" fillId="4" borderId="1" xfId="0" applyFont="true" applyBorder="true" applyAlignment="true" applyProtection="false">
      <alignment horizontal="center" vertical="center" textRotation="0" wrapText="false" indent="0" shrinkToFit="false"/>
      <protection locked="true" hidden="false"/>
    </xf>
    <xf numFmtId="170" fontId="5" fillId="4" borderId="1" xfId="0" applyFont="true" applyBorder="true" applyAlignment="true" applyProtection="false">
      <alignment horizontal="center" vertical="center" textRotation="0" wrapText="false" indent="0" shrinkToFit="false"/>
      <protection locked="true" hidden="false"/>
    </xf>
    <xf numFmtId="171"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71" fontId="0" fillId="3"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6" fontId="8" fillId="3" borderId="1" xfId="0" applyFont="true" applyBorder="true" applyAlignment="true" applyProtection="false">
      <alignment horizontal="center" vertical="center" textRotation="0" wrapText="false" indent="0" shrinkToFit="false"/>
      <protection locked="true" hidden="false"/>
    </xf>
    <xf numFmtId="168" fontId="8" fillId="3" borderId="1" xfId="0" applyFont="true" applyBorder="true" applyAlignment="true" applyProtection="false">
      <alignment horizontal="center"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false" indent="0" shrinkToFit="false"/>
      <protection locked="true" hidden="false"/>
    </xf>
    <xf numFmtId="170"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3" borderId="1" xfId="0" applyFont="true" applyBorder="true" applyAlignment="true" applyProtection="false">
      <alignment horizontal="center" vertical="bottom" textRotation="0" wrapText="false" indent="0" shrinkToFit="false"/>
      <protection locked="true" hidden="false"/>
    </xf>
    <xf numFmtId="166" fontId="0"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5" fontId="5" fillId="4" borderId="0" xfId="0" applyFont="true" applyBorder="fals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3" borderId="0" xfId="0" applyFont="true" applyBorder="false" applyAlignment="true" applyProtection="false">
      <alignment horizontal="left" vertical="top" textRotation="0" wrapText="true" indent="0" shrinkToFit="false"/>
      <protection locked="true" hidden="false"/>
    </xf>
    <xf numFmtId="164" fontId="5" fillId="4"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5" fontId="5" fillId="0" borderId="0" xfId="0" applyFont="true" applyBorder="false" applyAlignment="true" applyProtection="false">
      <alignment horizontal="center" vertical="top" textRotation="0" wrapText="true" indent="0" shrinkToFit="false"/>
      <protection locked="true" hidden="false"/>
    </xf>
    <xf numFmtId="166" fontId="5" fillId="0" borderId="0" xfId="0" applyFont="true" applyBorder="false" applyAlignment="true" applyProtection="false">
      <alignment horizontal="center" vertical="top" textRotation="0" wrapText="true" indent="0" shrinkToFit="false"/>
      <protection locked="true" hidden="false"/>
    </xf>
    <xf numFmtId="167" fontId="5" fillId="0" borderId="0" xfId="0" applyFont="true" applyBorder="false" applyAlignment="true" applyProtection="false">
      <alignment horizontal="center" vertical="top" textRotation="0" wrapText="true" indent="0" shrinkToFit="false"/>
      <protection locked="true" hidden="false"/>
    </xf>
    <xf numFmtId="170" fontId="5" fillId="0" borderId="0" xfId="0" applyFont="true" applyBorder="false" applyAlignment="true" applyProtection="false">
      <alignment horizontal="center" vertical="top" textRotation="0" wrapText="true" indent="0" shrinkToFit="false"/>
      <protection locked="true" hidden="false"/>
    </xf>
    <xf numFmtId="164" fontId="5" fillId="4"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C55A11"/>
      <rgbColor rgb="FF66669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V1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1'!$I$2:$I$11</c:f>
              <c:numCache>
                <c:formatCode>0</c:formatCode>
                <c:ptCount val="10"/>
                <c:pt idx="0">
                  <c:v>1421.15811288509</c:v>
                </c:pt>
                <c:pt idx="1">
                  <c:v>1380.32366821806</c:v>
                </c:pt>
                <c:pt idx="2">
                  <c:v>1408.29891867377</c:v>
                </c:pt>
                <c:pt idx="3">
                  <c:v>1409.06706888271</c:v>
                </c:pt>
                <c:pt idx="4">
                  <c:v>1407.499351274</c:v>
                </c:pt>
                <c:pt idx="5">
                  <c:v>1407.29955396803</c:v>
                </c:pt>
                <c:pt idx="6">
                  <c:v>1409.21728292278</c:v>
                </c:pt>
                <c:pt idx="7">
                  <c:v>1402.53857129639</c:v>
                </c:pt>
                <c:pt idx="8">
                  <c:v>1403.69923690996</c:v>
                </c:pt>
                <c:pt idx="9">
                  <c:v>1404.60593589585</c:v>
                </c:pt>
              </c:numCache>
            </c:numRef>
          </c:xVal>
          <c:yVal>
            <c:numRef>
              <c:f>'Set 1'!$J$2:$J$11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2'!$I$2:$I$11</c:f>
              <c:numCache>
                <c:formatCode>0</c:formatCode>
                <c:ptCount val="10"/>
                <c:pt idx="0">
                  <c:v>252.941476967729</c:v>
                </c:pt>
                <c:pt idx="1">
                  <c:v>252.932975417789</c:v>
                </c:pt>
                <c:pt idx="2">
                  <c:v>252.941476967729</c:v>
                </c:pt>
                <c:pt idx="3">
                  <c:v>244.381588889695</c:v>
                </c:pt>
                <c:pt idx="4">
                  <c:v>244.510942148903</c:v>
                </c:pt>
                <c:pt idx="5">
                  <c:v>244.518491839956</c:v>
                </c:pt>
                <c:pt idx="6">
                  <c:v>312.794696376031</c:v>
                </c:pt>
                <c:pt idx="7">
                  <c:v>312.794696376031</c:v>
                </c:pt>
                <c:pt idx="8">
                  <c:v>365.193909930287</c:v>
                </c:pt>
                <c:pt idx="9">
                  <c:v>365.193909930287</c:v>
                </c:pt>
              </c:numCache>
            </c:numRef>
          </c:xVal>
          <c:yVal>
            <c:numRef>
              <c:f>'Set 2'!$J$2:$J$11</c:f>
              <c:numCache>
                <c:formatCode>General</c:formatCode>
                <c:ptCount val="10"/>
              </c:numCache>
            </c:numRef>
          </c:yVal>
          <c:smooth val="1"/>
        </c:ser>
        <c:axId val="78884795"/>
        <c:axId val="7905892"/>
      </c:scatterChart>
      <c:valAx>
        <c:axId val="78884795"/>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V1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05892"/>
        <c:crosses val="autoZero"/>
        <c:crossBetween val="midCat"/>
      </c:valAx>
      <c:valAx>
        <c:axId val="79058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V1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884795"/>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V3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1'!$L$2:$L$11</c:f>
              <c:numCache>
                <c:formatCode>0</c:formatCode>
                <c:ptCount val="10"/>
                <c:pt idx="0">
                  <c:v>1746.44105539347</c:v>
                </c:pt>
                <c:pt idx="1">
                  <c:v>1744.46534440925</c:v>
                </c:pt>
                <c:pt idx="2">
                  <c:v>1745.71301367738</c:v>
                </c:pt>
                <c:pt idx="3">
                  <c:v>1746.41676186042</c:v>
                </c:pt>
                <c:pt idx="4">
                  <c:v>1746.37860154084</c:v>
                </c:pt>
                <c:pt idx="5">
                  <c:v>1745.65194202208</c:v>
                </c:pt>
                <c:pt idx="6">
                  <c:v>1746.53707486242</c:v>
                </c:pt>
                <c:pt idx="7">
                  <c:v>1746.17439480164</c:v>
                </c:pt>
                <c:pt idx="8">
                  <c:v>1749.6312767733</c:v>
                </c:pt>
                <c:pt idx="9">
                  <c:v>1749.65293005789</c:v>
                </c:pt>
              </c:numCache>
            </c:numRef>
          </c:xVal>
          <c:yVal>
            <c:numRef>
              <c:f>'Set 1'!$M$2:$M$11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2'!$L$2:$L$11</c:f>
              <c:numCache>
                <c:formatCode>0</c:formatCode>
                <c:ptCount val="10"/>
                <c:pt idx="0">
                  <c:v>1272.77675106126</c:v>
                </c:pt>
                <c:pt idx="1">
                  <c:v>1271.95778259744</c:v>
                </c:pt>
                <c:pt idx="2">
                  <c:v>1274.36021618533</c:v>
                </c:pt>
                <c:pt idx="3">
                  <c:v>1240.57518622454</c:v>
                </c:pt>
                <c:pt idx="4">
                  <c:v>1241.43819349573</c:v>
                </c:pt>
                <c:pt idx="5">
                  <c:v>1244.01182011071</c:v>
                </c:pt>
                <c:pt idx="6">
                  <c:v>1161.08798987177</c:v>
                </c:pt>
                <c:pt idx="7">
                  <c:v>1161.74939305885</c:v>
                </c:pt>
                <c:pt idx="8">
                  <c:v>1153.32150850965</c:v>
                </c:pt>
                <c:pt idx="9">
                  <c:v>1147.99922817314</c:v>
                </c:pt>
              </c:numCache>
            </c:numRef>
          </c:xVal>
          <c:yVal>
            <c:numRef>
              <c:f>'Set 2'!$M$2:$M$11</c:f>
              <c:numCache>
                <c:formatCode>General</c:formatCode>
                <c:ptCount val="10"/>
              </c:numCache>
            </c:numRef>
          </c:yVal>
          <c:smooth val="1"/>
        </c:ser>
        <c:axId val="37380373"/>
        <c:axId val="47674793"/>
      </c:scatterChart>
      <c:valAx>
        <c:axId val="37380373"/>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V3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674793"/>
        <c:crosses val="autoZero"/>
        <c:crossBetween val="midCat"/>
      </c:valAx>
      <c:valAx>
        <c:axId val="4767479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V3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380373"/>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Strain range: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1'!$O$2:$O$11</c:f>
              <c:numCache>
                <c:formatCode>0.00</c:formatCode>
                <c:ptCount val="10"/>
                <c:pt idx="0">
                  <c:v>7.550116</c:v>
                </c:pt>
                <c:pt idx="1">
                  <c:v>7.61353533333333</c:v>
                </c:pt>
                <c:pt idx="2">
                  <c:v>7.63308399999999</c:v>
                </c:pt>
                <c:pt idx="3">
                  <c:v>7.62935699999999</c:v>
                </c:pt>
                <c:pt idx="4">
                  <c:v>7.63384199999999</c:v>
                </c:pt>
                <c:pt idx="5">
                  <c:v>7.64592499999999</c:v>
                </c:pt>
                <c:pt idx="6">
                  <c:v>7.64266299999999</c:v>
                </c:pt>
                <c:pt idx="7">
                  <c:v>7.64895899999999</c:v>
                </c:pt>
                <c:pt idx="8">
                  <c:v>7.64311299999999</c:v>
                </c:pt>
                <c:pt idx="9">
                  <c:v>7.64497699999999</c:v>
                </c:pt>
              </c:numCache>
            </c:numRef>
          </c:xVal>
          <c:yVal>
            <c:numRef>
              <c:f>'Set 1'!$P$2:$P$11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2'!$O$2:$O$11</c:f>
              <c:numCache>
                <c:formatCode>0.00</c:formatCode>
                <c:ptCount val="10"/>
                <c:pt idx="0">
                  <c:v>7.51738999999999</c:v>
                </c:pt>
                <c:pt idx="1">
                  <c:v>7.51647999999999</c:v>
                </c:pt>
                <c:pt idx="2">
                  <c:v>7.51820299999999</c:v>
                </c:pt>
                <c:pt idx="3">
                  <c:v>7.54008299999999</c:v>
                </c:pt>
                <c:pt idx="4">
                  <c:v>7.54310199999999</c:v>
                </c:pt>
                <c:pt idx="5">
                  <c:v>7.54482499999999</c:v>
                </c:pt>
                <c:pt idx="6">
                  <c:v>7.66023</c:v>
                </c:pt>
                <c:pt idx="7">
                  <c:v>7.660533</c:v>
                </c:pt>
                <c:pt idx="8">
                  <c:v>7.677769</c:v>
                </c:pt>
                <c:pt idx="9">
                  <c:v>7.680507</c:v>
                </c:pt>
              </c:numCache>
            </c:numRef>
          </c:xVal>
          <c:yVal>
            <c:numRef>
              <c:f>'Set 2'!$P$2:$P$11</c:f>
              <c:numCache>
                <c:formatCode>General</c:formatCode>
                <c:ptCount val="10"/>
              </c:numCache>
            </c:numRef>
          </c:yVal>
          <c:smooth val="1"/>
        </c:ser>
        <c:axId val="51108273"/>
        <c:axId val="66932665"/>
      </c:scatterChart>
      <c:valAx>
        <c:axId val="51108273"/>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strain range</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932665"/>
        <c:crosses val="autoZero"/>
        <c:crossBetween val="midCat"/>
      </c:valAx>
      <c:valAx>
        <c:axId val="6693266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strain range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108273"/>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Loop area: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1'!$R$2:$R$11</c:f>
              <c:numCache>
                <c:formatCode>0.0</c:formatCode>
                <c:ptCount val="10"/>
                <c:pt idx="0">
                  <c:v>263.959090135506</c:v>
                </c:pt>
                <c:pt idx="1">
                  <c:v>543.22722833229</c:v>
                </c:pt>
                <c:pt idx="2">
                  <c:v>632.07201334017</c:v>
                </c:pt>
                <c:pt idx="3">
                  <c:v>650.201104432882</c:v>
                </c:pt>
                <c:pt idx="4">
                  <c:v>656.430712583907</c:v>
                </c:pt>
                <c:pt idx="5">
                  <c:v>661.922490247295</c:v>
                </c:pt>
                <c:pt idx="6">
                  <c:v>722.735643650416</c:v>
                </c:pt>
                <c:pt idx="7">
                  <c:v>731.734711525745</c:v>
                </c:pt>
                <c:pt idx="8">
                  <c:v>741.859239328738</c:v>
                </c:pt>
                <c:pt idx="9">
                  <c:v>749.678589646605</c:v>
                </c:pt>
              </c:numCache>
            </c:numRef>
          </c:xVal>
          <c:yVal>
            <c:numRef>
              <c:f>'Set 1'!$S$2:$S$11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2'!$R$2:$R$11</c:f>
              <c:numCache>
                <c:formatCode>0.0</c:formatCode>
                <c:ptCount val="10"/>
                <c:pt idx="0">
                  <c:v>194.037396072618</c:v>
                </c:pt>
                <c:pt idx="1">
                  <c:v>194.398322200401</c:v>
                </c:pt>
                <c:pt idx="2">
                  <c:v>195.04844034153</c:v>
                </c:pt>
                <c:pt idx="3">
                  <c:v>265.165023707051</c:v>
                </c:pt>
                <c:pt idx="4">
                  <c:v>265.45253270235</c:v>
                </c:pt>
                <c:pt idx="5">
                  <c:v>266.130053765627</c:v>
                </c:pt>
                <c:pt idx="6">
                  <c:v>612.727627704531</c:v>
                </c:pt>
                <c:pt idx="7">
                  <c:v>613.002453735894</c:v>
                </c:pt>
                <c:pt idx="8">
                  <c:v>646.382176644298</c:v>
                </c:pt>
                <c:pt idx="9">
                  <c:v>655.711579058753</c:v>
                </c:pt>
              </c:numCache>
            </c:numRef>
          </c:xVal>
          <c:yVal>
            <c:numRef>
              <c:f>'Set 2'!$S$2:$S$11</c:f>
              <c:numCache>
                <c:formatCode>General</c:formatCode>
                <c:ptCount val="10"/>
              </c:numCache>
            </c:numRef>
          </c:yVal>
          <c:smooth val="1"/>
        </c:ser>
        <c:axId val="52103404"/>
        <c:axId val="47569270"/>
      </c:scatterChart>
      <c:valAx>
        <c:axId val="52103404"/>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loop area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569270"/>
        <c:crosses val="autoZero"/>
        <c:crossBetween val="midCat"/>
      </c:valAx>
      <c:valAx>
        <c:axId val="4756927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loop area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103404"/>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
</Relationships>
</file>

<file path=xl/drawings/_rels/drawing2.xml.rels><?xml version="1.0" encoding="UTF-8"?>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2.png"/><Relationship Id="rId3" Type="http://schemas.openxmlformats.org/officeDocument/2006/relationships/image" Target="../media/image13.png"/><Relationship Id="rId4" Type="http://schemas.openxmlformats.org/officeDocument/2006/relationships/image" Target="../media/image14.png"/><Relationship Id="rId5" Type="http://schemas.openxmlformats.org/officeDocument/2006/relationships/image" Target="../media/image15.png"/><Relationship Id="rId6" Type="http://schemas.openxmlformats.org/officeDocument/2006/relationships/image" Target="../media/image16.png"/><Relationship Id="rId7" Type="http://schemas.openxmlformats.org/officeDocument/2006/relationships/image" Target="../media/image17.png"/><Relationship Id="rId8" Type="http://schemas.openxmlformats.org/officeDocument/2006/relationships/image" Target="../media/image18.png"/><Relationship Id="rId9" Type="http://schemas.openxmlformats.org/officeDocument/2006/relationships/image" Target="../media/image19.png"/><Relationship Id="rId10" Type="http://schemas.openxmlformats.org/officeDocument/2006/relationships/image" Target="../media/image20.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1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1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1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1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1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1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1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1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1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0</xdr:rowOff>
    </xdr:from>
    <xdr:to>
      <xdr:col>10</xdr:col>
      <xdr:colOff>4680</xdr:colOff>
      <xdr:row>21</xdr:row>
      <xdr:rowOff>170640</xdr:rowOff>
    </xdr:to>
    <xdr:graphicFrame>
      <xdr:nvGraphicFramePr>
        <xdr:cNvPr id="20" name="Chart 1"/>
        <xdr:cNvGraphicFramePr/>
      </xdr:nvGraphicFramePr>
      <xdr:xfrm>
        <a:off x="0" y="571680"/>
        <a:ext cx="61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xdr:row>
      <xdr:rowOff>0</xdr:rowOff>
    </xdr:from>
    <xdr:to>
      <xdr:col>20</xdr:col>
      <xdr:colOff>4320</xdr:colOff>
      <xdr:row>21</xdr:row>
      <xdr:rowOff>170640</xdr:rowOff>
    </xdr:to>
    <xdr:graphicFrame>
      <xdr:nvGraphicFramePr>
        <xdr:cNvPr id="21" name="Chart 2"/>
        <xdr:cNvGraphicFramePr/>
      </xdr:nvGraphicFramePr>
      <xdr:xfrm>
        <a:off x="6114960" y="571680"/>
        <a:ext cx="61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25</xdr:row>
      <xdr:rowOff>0</xdr:rowOff>
    </xdr:from>
    <xdr:to>
      <xdr:col>10</xdr:col>
      <xdr:colOff>4680</xdr:colOff>
      <xdr:row>43</xdr:row>
      <xdr:rowOff>170640</xdr:rowOff>
    </xdr:to>
    <xdr:graphicFrame>
      <xdr:nvGraphicFramePr>
        <xdr:cNvPr id="22" name="Chart 3"/>
        <xdr:cNvGraphicFramePr/>
      </xdr:nvGraphicFramePr>
      <xdr:xfrm>
        <a:off x="0" y="4762440"/>
        <a:ext cx="6119640" cy="35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25</xdr:row>
      <xdr:rowOff>0</xdr:rowOff>
    </xdr:from>
    <xdr:to>
      <xdr:col>20</xdr:col>
      <xdr:colOff>4320</xdr:colOff>
      <xdr:row>43</xdr:row>
      <xdr:rowOff>170640</xdr:rowOff>
    </xdr:to>
    <xdr:graphicFrame>
      <xdr:nvGraphicFramePr>
        <xdr:cNvPr id="23" name="Chart 4"/>
        <xdr:cNvGraphicFramePr/>
      </xdr:nvGraphicFramePr>
      <xdr:xfrm>
        <a:off x="6114960" y="4762440"/>
        <a:ext cx="6119640" cy="35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46"/>
  </cols>
  <sheetData>
    <row r="1" customFormat="false" ht="42" hidden="false" customHeight="true" outlineLevel="0" collapsed="false">
      <c r="A1" s="1" t="s">
        <v>0</v>
      </c>
      <c r="B1" s="1" t="s">
        <v>1</v>
      </c>
      <c r="C1" s="1" t="s">
        <v>2</v>
      </c>
      <c r="D1" s="1" t="s">
        <v>3</v>
      </c>
      <c r="E1" s="1" t="str">
        <f aca="false">"waves / "&amp;Notes!$B$4&amp;"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51</v>
      </c>
      <c r="D2" s="2" t="n">
        <v>400</v>
      </c>
      <c r="E2" s="5" t="n">
        <f aca="false">Notes!$B$4/D2</f>
        <v>1.6</v>
      </c>
      <c r="F2" s="4" t="n">
        <v>0.56</v>
      </c>
      <c r="G2" s="6" t="n">
        <f aca="false">C2+F2*IF((Notes!$B$4-Notes!$B$6)/D2&gt;=0.75,-1,MIN(0,SIN(2*PI()*(Notes!$B$4-Notes!$B$6)/D2)))</f>
        <v>50.44</v>
      </c>
      <c r="H2" s="6" t="n">
        <f aca="false">C2+F2*IF((Notes!$B$4-Notes!$B$6)/D2&gt;=0.25,1,SIN(2*PI()*(Notes!$B$4-Notes!$B$6)/D2))</f>
        <v>51.56</v>
      </c>
      <c r="I2" s="2" t="n">
        <v>1421.15811288509</v>
      </c>
      <c r="J2" s="7"/>
      <c r="K2" s="8" t="str">
        <f aca="false">IF(AND(ISNUMBER(J2),ISNUMBER(I2)),J2-I2,"")</f>
        <v/>
      </c>
      <c r="L2" s="2" t="n">
        <v>1746.44105539347</v>
      </c>
      <c r="M2" s="7"/>
      <c r="N2" s="8" t="str">
        <f aca="false">IF(AND(ISNUMBER(M2),ISNUMBER(L2)),M2-L2,"")</f>
        <v/>
      </c>
      <c r="O2" s="4" t="n">
        <v>7.550116</v>
      </c>
      <c r="P2" s="9"/>
      <c r="Q2" s="5" t="str">
        <f aca="false">IF(AND(ISNUMBER(P2),ISNUMBER(O2)),P2-O2,"")</f>
        <v/>
      </c>
      <c r="R2" s="10" t="n">
        <v>263.959090135506</v>
      </c>
      <c r="S2" s="9"/>
      <c r="T2" s="11" t="str">
        <f aca="false">IF(AND(ISNUMBER(S2),ISNUMBER(R2)),IF(S2&lt;&gt;0,R2/S2,""),"")</f>
        <v/>
      </c>
      <c r="U2" s="12" t="str">
        <f aca="false">IF(COUNT(S$2:S$11)=ROWS(S$2:S$11),RANK(R2,R$2:R$11,1)-RANK(S2,S$2:S$11,1),"")</f>
        <v/>
      </c>
      <c r="V2" s="13"/>
      <c r="W2" s="13"/>
      <c r="X2" s="14"/>
      <c r="Y2" s="15"/>
      <c r="Z2" s="16" t="str">
        <f aca="false">"set1_CM/fields/point"&amp;TEXT(A2,"00")&amp;"_wv"&amp;TEXT(D2,"0")&amp;"nm_amp"&amp;INT(ROUND(F2*100,0)/100)&amp;"."&amp;TEXT(MOD(ROUND(F2*100,0),100),"00")&amp;"pct.vtk"</f>
        <v>set1_CM/fields/point01_wv400nm_amp0.56pct.vtk</v>
      </c>
    </row>
    <row r="3" customFormat="false" ht="111.75" hidden="false" customHeight="true" outlineLevel="0" collapsed="false">
      <c r="A3" s="2" t="n">
        <v>2</v>
      </c>
      <c r="B3" s="3"/>
      <c r="C3" s="4" t="n">
        <v>51</v>
      </c>
      <c r="D3" s="2" t="n">
        <v>960</v>
      </c>
      <c r="E3" s="5" t="n">
        <f aca="false">Notes!$B$4/D3</f>
        <v>0.666666666666667</v>
      </c>
      <c r="F3" s="4" t="n">
        <v>0.52</v>
      </c>
      <c r="G3" s="6" t="n">
        <f aca="false">C3+F3*IF((Notes!$B$4-Notes!$B$6)/D3&gt;=0.75,-1,MIN(0,SIN(2*PI()*(Notes!$B$4-Notes!$B$6)/D3)))</f>
        <v>50.558414865606</v>
      </c>
      <c r="H3" s="6" t="n">
        <f aca="false">C3+F3*IF((Notes!$B$4-Notes!$B$6)/D3&gt;=0.25,1,SIN(2*PI()*(Notes!$B$4-Notes!$B$6)/D3))</f>
        <v>51.52</v>
      </c>
      <c r="I3" s="2" t="n">
        <v>1380.32366821806</v>
      </c>
      <c r="J3" s="7"/>
      <c r="K3" s="8" t="str">
        <f aca="false">IF(AND(ISNUMBER(J3),ISNUMBER(I3)),J3-I3,"")</f>
        <v/>
      </c>
      <c r="L3" s="2" t="n">
        <v>1744.46534440925</v>
      </c>
      <c r="M3" s="7"/>
      <c r="N3" s="8" t="str">
        <f aca="false">IF(AND(ISNUMBER(M3),ISNUMBER(L3)),M3-L3,"")</f>
        <v/>
      </c>
      <c r="O3" s="4" t="n">
        <v>7.61353533333333</v>
      </c>
      <c r="P3" s="9"/>
      <c r="Q3" s="5" t="str">
        <f aca="false">IF(AND(ISNUMBER(P3),ISNUMBER(O3)),P3-O3,"")</f>
        <v/>
      </c>
      <c r="R3" s="10" t="n">
        <v>543.22722833229</v>
      </c>
      <c r="S3" s="9"/>
      <c r="T3" s="11" t="str">
        <f aca="false">IF(AND(ISNUMBER(S3),ISNUMBER(R3)),IF(S3&lt;&gt;0,R3/S3,""),"")</f>
        <v/>
      </c>
      <c r="U3" s="12" t="str">
        <f aca="false">IF(COUNT(S$2:S$11)=ROWS(S$2:S$11),RANK(R3,R$2:R$11,1)-RANK(S3,S$2:S$11,1),"")</f>
        <v/>
      </c>
      <c r="V3" s="13"/>
      <c r="W3" s="13"/>
      <c r="X3" s="14"/>
      <c r="Y3" s="15"/>
      <c r="Z3" s="16" t="str">
        <f aca="false">"set1_CM/fields/point"&amp;TEXT(A3,"00")&amp;"_wv"&amp;TEXT(D3,"0")&amp;"nm_amp"&amp;INT(ROUND(F3*100,0)/100)&amp;"."&amp;TEXT(MOD(ROUND(F3*100,0),100),"00")&amp;"pct.vtk"</f>
        <v>set1_CM/fields/point02_wv960nm_amp0.52pct.vtk</v>
      </c>
    </row>
    <row r="4" customFormat="false" ht="111.75" hidden="false" customHeight="true" outlineLevel="0" collapsed="false">
      <c r="A4" s="2" t="n">
        <v>3</v>
      </c>
      <c r="B4" s="3"/>
      <c r="C4" s="4" t="n">
        <v>51</v>
      </c>
      <c r="D4" s="2" t="n">
        <v>480</v>
      </c>
      <c r="E4" s="5" t="n">
        <f aca="false">Notes!$B$4/D4</f>
        <v>1.33333333333333</v>
      </c>
      <c r="F4" s="4" t="n">
        <v>0.52</v>
      </c>
      <c r="G4" s="6" t="n">
        <f aca="false">C4+F4*IF((Notes!$B$4-Notes!$B$6)/D4&gt;=0.75,-1,MIN(0,SIN(2*PI()*(Notes!$B$4-Notes!$B$6)/D4)))</f>
        <v>50.48</v>
      </c>
      <c r="H4" s="6" t="n">
        <f aca="false">C4+F4*IF((Notes!$B$4-Notes!$B$6)/D4&gt;=0.25,1,SIN(2*PI()*(Notes!$B$4-Notes!$B$6)/D4))</f>
        <v>51.52</v>
      </c>
      <c r="I4" s="2" t="n">
        <v>1408.29891867377</v>
      </c>
      <c r="J4" s="7"/>
      <c r="K4" s="8" t="str">
        <f aca="false">IF(AND(ISNUMBER(J4),ISNUMBER(I4)),J4-I4,"")</f>
        <v/>
      </c>
      <c r="L4" s="2" t="n">
        <v>1745.71301367738</v>
      </c>
      <c r="M4" s="7"/>
      <c r="N4" s="8" t="str">
        <f aca="false">IF(AND(ISNUMBER(M4),ISNUMBER(L4)),M4-L4,"")</f>
        <v/>
      </c>
      <c r="O4" s="4" t="n">
        <v>7.63308399999999</v>
      </c>
      <c r="P4" s="9"/>
      <c r="Q4" s="5" t="str">
        <f aca="false">IF(AND(ISNUMBER(P4),ISNUMBER(O4)),P4-O4,"")</f>
        <v/>
      </c>
      <c r="R4" s="10" t="n">
        <v>632.07201334017</v>
      </c>
      <c r="S4" s="9"/>
      <c r="T4" s="11" t="str">
        <f aca="false">IF(AND(ISNUMBER(S4),ISNUMBER(R4)),IF(S4&lt;&gt;0,R4/S4,""),"")</f>
        <v/>
      </c>
      <c r="U4" s="12" t="str">
        <f aca="false">IF(COUNT(S$2:S$11)=ROWS(S$2:S$11),RANK(R4,R$2:R$11,1)-RANK(S4,S$2:S$11,1),"")</f>
        <v/>
      </c>
      <c r="V4" s="13"/>
      <c r="W4" s="13"/>
      <c r="X4" s="14"/>
      <c r="Y4" s="15"/>
      <c r="Z4" s="16" t="str">
        <f aca="false">"set1_CM/fields/point"&amp;TEXT(A4,"00")&amp;"_wv"&amp;TEXT(D4,"0")&amp;"nm_amp"&amp;INT(ROUND(F4*100,0)/100)&amp;"."&amp;TEXT(MOD(ROUND(F4*100,0),100),"00")&amp;"pct.vtk"</f>
        <v>set1_CM/fields/point03_wv480nm_amp0.52pct.vtk</v>
      </c>
    </row>
    <row r="5" customFormat="false" ht="111.75" hidden="false" customHeight="true" outlineLevel="0" collapsed="false">
      <c r="A5" s="2" t="n">
        <v>4</v>
      </c>
      <c r="B5" s="3"/>
      <c r="C5" s="4" t="n">
        <v>51</v>
      </c>
      <c r="D5" s="2" t="n">
        <v>240</v>
      </c>
      <c r="E5" s="5" t="n">
        <f aca="false">Notes!$B$4/D5</f>
        <v>2.66666666666667</v>
      </c>
      <c r="F5" s="4" t="n">
        <v>0.52</v>
      </c>
      <c r="G5" s="6" t="n">
        <f aca="false">C5+F5*IF((Notes!$B$4-Notes!$B$6)/D5&gt;=0.75,-1,MIN(0,SIN(2*PI()*(Notes!$B$4-Notes!$B$6)/D5)))</f>
        <v>50.48</v>
      </c>
      <c r="H5" s="6" t="n">
        <f aca="false">C5+F5*IF((Notes!$B$4-Notes!$B$6)/D5&gt;=0.25,1,SIN(2*PI()*(Notes!$B$4-Notes!$B$6)/D5))</f>
        <v>51.52</v>
      </c>
      <c r="I5" s="2" t="n">
        <v>1409.06706888271</v>
      </c>
      <c r="J5" s="7"/>
      <c r="K5" s="8" t="str">
        <f aca="false">IF(AND(ISNUMBER(J5),ISNUMBER(I5)),J5-I5,"")</f>
        <v/>
      </c>
      <c r="L5" s="2" t="n">
        <v>1746.41676186042</v>
      </c>
      <c r="M5" s="7"/>
      <c r="N5" s="8" t="str">
        <f aca="false">IF(AND(ISNUMBER(M5),ISNUMBER(L5)),M5-L5,"")</f>
        <v/>
      </c>
      <c r="O5" s="4" t="n">
        <v>7.62935699999999</v>
      </c>
      <c r="P5" s="9"/>
      <c r="Q5" s="5" t="str">
        <f aca="false">IF(AND(ISNUMBER(P5),ISNUMBER(O5)),P5-O5,"")</f>
        <v/>
      </c>
      <c r="R5" s="10" t="n">
        <v>650.201104432882</v>
      </c>
      <c r="S5" s="9"/>
      <c r="T5" s="11" t="str">
        <f aca="false">IF(AND(ISNUMBER(S5),ISNUMBER(R5)),IF(S5&lt;&gt;0,R5/S5,""),"")</f>
        <v/>
      </c>
      <c r="U5" s="12" t="str">
        <f aca="false">IF(COUNT(S$2:S$11)=ROWS(S$2:S$11),RANK(R5,R$2:R$11,1)-RANK(S5,S$2:S$11,1),"")</f>
        <v/>
      </c>
      <c r="V5" s="13"/>
      <c r="W5" s="13"/>
      <c r="X5" s="14"/>
      <c r="Y5" s="15"/>
      <c r="Z5" s="16" t="str">
        <f aca="false">"set1_CM/fields/point"&amp;TEXT(A5,"00")&amp;"_wv"&amp;TEXT(D5,"0")&amp;"nm_amp"&amp;INT(ROUND(F5*100,0)/100)&amp;"."&amp;TEXT(MOD(ROUND(F5*100,0),100),"00")&amp;"pct.vtk"</f>
        <v>set1_CM/fields/point04_wv240nm_amp0.52pct.vtk</v>
      </c>
    </row>
    <row r="6" customFormat="false" ht="111.75" hidden="false" customHeight="true" outlineLevel="0" collapsed="false">
      <c r="A6" s="2" t="n">
        <v>5</v>
      </c>
      <c r="B6" s="3"/>
      <c r="C6" s="4" t="n">
        <v>50.95</v>
      </c>
      <c r="D6" s="2" t="n">
        <v>240</v>
      </c>
      <c r="E6" s="5" t="n">
        <f aca="false">Notes!$B$4/D6</f>
        <v>2.66666666666667</v>
      </c>
      <c r="F6" s="4" t="n">
        <v>0.52</v>
      </c>
      <c r="G6" s="6" t="n">
        <f aca="false">C6+F6*IF((Notes!$B$4-Notes!$B$6)/D6&gt;=0.75,-1,MIN(0,SIN(2*PI()*(Notes!$B$4-Notes!$B$6)/D6)))</f>
        <v>50.43</v>
      </c>
      <c r="H6" s="6" t="n">
        <f aca="false">C6+F6*IF((Notes!$B$4-Notes!$B$6)/D6&gt;=0.25,1,SIN(2*PI()*(Notes!$B$4-Notes!$B$6)/D6))</f>
        <v>51.47</v>
      </c>
      <c r="I6" s="2" t="n">
        <v>1407.499351274</v>
      </c>
      <c r="J6" s="7"/>
      <c r="K6" s="8" t="str">
        <f aca="false">IF(AND(ISNUMBER(J6),ISNUMBER(I6)),J6-I6,"")</f>
        <v/>
      </c>
      <c r="L6" s="2" t="n">
        <v>1746.37860154084</v>
      </c>
      <c r="M6" s="7"/>
      <c r="N6" s="8" t="str">
        <f aca="false">IF(AND(ISNUMBER(M6),ISNUMBER(L6)),M6-L6,"")</f>
        <v/>
      </c>
      <c r="O6" s="4" t="n">
        <v>7.63384199999999</v>
      </c>
      <c r="P6" s="9"/>
      <c r="Q6" s="5" t="str">
        <f aca="false">IF(AND(ISNUMBER(P6),ISNUMBER(O6)),P6-O6,"")</f>
        <v/>
      </c>
      <c r="R6" s="10" t="n">
        <v>656.430712583907</v>
      </c>
      <c r="S6" s="9"/>
      <c r="T6" s="11" t="str">
        <f aca="false">IF(AND(ISNUMBER(S6),ISNUMBER(R6)),IF(S6&lt;&gt;0,R6/S6,""),"")</f>
        <v/>
      </c>
      <c r="U6" s="12" t="str">
        <f aca="false">IF(COUNT(S$2:S$11)=ROWS(S$2:S$11),RANK(R6,R$2:R$11,1)-RANK(S6,S$2:S$11,1),"")</f>
        <v/>
      </c>
      <c r="V6" s="13"/>
      <c r="W6" s="13"/>
      <c r="X6" s="14"/>
      <c r="Y6" s="15"/>
      <c r="Z6" s="16" t="str">
        <f aca="false">"set1_CM/fields/point"&amp;TEXT(A6,"00")&amp;"_wv"&amp;TEXT(D6,"0")&amp;"nm_amp"&amp;INT(ROUND(F6*100,0)/100)&amp;"."&amp;TEXT(MOD(ROUND(F6*100,0),100),"00")&amp;"pct.vtk"</f>
        <v>set1_CM/fields/point05_wv240nm_amp0.52pct.vtk</v>
      </c>
    </row>
    <row r="7" customFormat="false" ht="111.75" hidden="false" customHeight="true" outlineLevel="0" collapsed="false">
      <c r="A7" s="2" t="n">
        <v>6</v>
      </c>
      <c r="B7" s="3"/>
      <c r="C7" s="4" t="n">
        <v>50.95</v>
      </c>
      <c r="D7" s="2" t="n">
        <v>320</v>
      </c>
      <c r="E7" s="5" t="n">
        <f aca="false">Notes!$B$4/D7</f>
        <v>2</v>
      </c>
      <c r="F7" s="4" t="n">
        <v>0.52</v>
      </c>
      <c r="G7" s="6" t="n">
        <f aca="false">C7+F7*IF((Notes!$B$4-Notes!$B$6)/D7&gt;=0.75,-1,MIN(0,SIN(2*PI()*(Notes!$B$4-Notes!$B$6)/D7)))</f>
        <v>50.43</v>
      </c>
      <c r="H7" s="6" t="n">
        <f aca="false">C7+F7*IF((Notes!$B$4-Notes!$B$6)/D7&gt;=0.25,1,SIN(2*PI()*(Notes!$B$4-Notes!$B$6)/D7))</f>
        <v>51.47</v>
      </c>
      <c r="I7" s="2" t="n">
        <v>1407.29955396803</v>
      </c>
      <c r="J7" s="7"/>
      <c r="K7" s="8" t="str">
        <f aca="false">IF(AND(ISNUMBER(J7),ISNUMBER(I7)),J7-I7,"")</f>
        <v/>
      </c>
      <c r="L7" s="2" t="n">
        <v>1745.65194202208</v>
      </c>
      <c r="M7" s="7"/>
      <c r="N7" s="8" t="str">
        <f aca="false">IF(AND(ISNUMBER(M7),ISNUMBER(L7)),M7-L7,"")</f>
        <v/>
      </c>
      <c r="O7" s="4" t="n">
        <v>7.64592499999999</v>
      </c>
      <c r="P7" s="9"/>
      <c r="Q7" s="5" t="str">
        <f aca="false">IF(AND(ISNUMBER(P7),ISNUMBER(O7)),P7-O7,"")</f>
        <v/>
      </c>
      <c r="R7" s="10" t="n">
        <v>661.922490247295</v>
      </c>
      <c r="S7" s="9"/>
      <c r="T7" s="11" t="str">
        <f aca="false">IF(AND(ISNUMBER(S7),ISNUMBER(R7)),IF(S7&lt;&gt;0,R7/S7,""),"")</f>
        <v/>
      </c>
      <c r="U7" s="12" t="str">
        <f aca="false">IF(COUNT(S$2:S$11)=ROWS(S$2:S$11),RANK(R7,R$2:R$11,1)-RANK(S7,S$2:S$11,1),"")</f>
        <v/>
      </c>
      <c r="V7" s="13"/>
      <c r="W7" s="13"/>
      <c r="X7" s="14"/>
      <c r="Y7" s="15"/>
      <c r="Z7" s="16" t="str">
        <f aca="false">"set1_CM/fields/point"&amp;TEXT(A7,"00")&amp;"_wv"&amp;TEXT(D7,"0")&amp;"nm_amp"&amp;INT(ROUND(F7*100,0)/100)&amp;"."&amp;TEXT(MOD(ROUND(F7*100,0),100),"00")&amp;"pct.vtk"</f>
        <v>set1_CM/fields/point06_wv320nm_amp0.52pct.vtk</v>
      </c>
    </row>
    <row r="8" customFormat="false" ht="111.75" hidden="false" customHeight="true" outlineLevel="0" collapsed="false">
      <c r="A8" s="2" t="n">
        <v>7</v>
      </c>
      <c r="B8" s="3"/>
      <c r="C8" s="4" t="n">
        <v>51</v>
      </c>
      <c r="D8" s="2" t="n">
        <v>240</v>
      </c>
      <c r="E8" s="5" t="n">
        <f aca="false">Notes!$B$4/D8</f>
        <v>2.66666666666667</v>
      </c>
      <c r="F8" s="4" t="n">
        <v>0.4</v>
      </c>
      <c r="G8" s="6" t="n">
        <f aca="false">C8+F8*IF((Notes!$B$4-Notes!$B$6)/D8&gt;=0.75,-1,MIN(0,SIN(2*PI()*(Notes!$B$4-Notes!$B$6)/D8)))</f>
        <v>50.6</v>
      </c>
      <c r="H8" s="6" t="n">
        <f aca="false">C8+F8*IF((Notes!$B$4-Notes!$B$6)/D8&gt;=0.25,1,SIN(2*PI()*(Notes!$B$4-Notes!$B$6)/D8))</f>
        <v>51.4</v>
      </c>
      <c r="I8" s="2" t="n">
        <v>1409.21728292278</v>
      </c>
      <c r="J8" s="7"/>
      <c r="K8" s="8" t="str">
        <f aca="false">IF(AND(ISNUMBER(J8),ISNUMBER(I8)),J8-I8,"")</f>
        <v/>
      </c>
      <c r="L8" s="2" t="n">
        <v>1746.53707486242</v>
      </c>
      <c r="M8" s="7"/>
      <c r="N8" s="8" t="str">
        <f aca="false">IF(AND(ISNUMBER(M8),ISNUMBER(L8)),M8-L8,"")</f>
        <v/>
      </c>
      <c r="O8" s="4" t="n">
        <v>7.64266299999999</v>
      </c>
      <c r="P8" s="9"/>
      <c r="Q8" s="5" t="str">
        <f aca="false">IF(AND(ISNUMBER(P8),ISNUMBER(O8)),P8-O8,"")</f>
        <v/>
      </c>
      <c r="R8" s="10" t="n">
        <v>722.735643650416</v>
      </c>
      <c r="S8" s="9"/>
      <c r="T8" s="11" t="str">
        <f aca="false">IF(AND(ISNUMBER(S8),ISNUMBER(R8)),IF(S8&lt;&gt;0,R8/S8,""),"")</f>
        <v/>
      </c>
      <c r="U8" s="12" t="str">
        <f aca="false">IF(COUNT(S$2:S$11)=ROWS(S$2:S$11),RANK(R8,R$2:R$11,1)-RANK(S8,S$2:S$11,1),"")</f>
        <v/>
      </c>
      <c r="V8" s="13"/>
      <c r="W8" s="13"/>
      <c r="X8" s="14"/>
      <c r="Y8" s="15"/>
      <c r="Z8" s="16" t="str">
        <f aca="false">"set1_CM/fields/point"&amp;TEXT(A8,"00")&amp;"_wv"&amp;TEXT(D8,"0")&amp;"nm_amp"&amp;INT(ROUND(F8*100,0)/100)&amp;"."&amp;TEXT(MOD(ROUND(F8*100,0),100),"00")&amp;"pct.vtk"</f>
        <v>set1_CM/fields/point07_wv240nm_amp0.40pct.vtk</v>
      </c>
    </row>
    <row r="9" customFormat="false" ht="111.75" hidden="false" customHeight="true" outlineLevel="0" collapsed="false">
      <c r="A9" s="2" t="n">
        <v>8</v>
      </c>
      <c r="B9" s="3"/>
      <c r="C9" s="4" t="n">
        <v>50.95</v>
      </c>
      <c r="D9" s="2" t="n">
        <v>240</v>
      </c>
      <c r="E9" s="5" t="n">
        <f aca="false">Notes!$B$4/D9</f>
        <v>2.66666666666667</v>
      </c>
      <c r="F9" s="4" t="n">
        <v>0.48</v>
      </c>
      <c r="G9" s="6" t="n">
        <f aca="false">C9+F9*IF((Notes!$B$4-Notes!$B$6)/D9&gt;=0.75,-1,MIN(0,SIN(2*PI()*(Notes!$B$4-Notes!$B$6)/D9)))</f>
        <v>50.47</v>
      </c>
      <c r="H9" s="6" t="n">
        <f aca="false">C9+F9*IF((Notes!$B$4-Notes!$B$6)/D9&gt;=0.25,1,SIN(2*PI()*(Notes!$B$4-Notes!$B$6)/D9))</f>
        <v>51.43</v>
      </c>
      <c r="I9" s="2" t="n">
        <v>1402.53857129639</v>
      </c>
      <c r="J9" s="7"/>
      <c r="K9" s="8" t="str">
        <f aca="false">IF(AND(ISNUMBER(J9),ISNUMBER(I9)),J9-I9,"")</f>
        <v/>
      </c>
      <c r="L9" s="2" t="n">
        <v>1746.17439480164</v>
      </c>
      <c r="M9" s="7"/>
      <c r="N9" s="8" t="str">
        <f aca="false">IF(AND(ISNUMBER(M9),ISNUMBER(L9)),M9-L9,"")</f>
        <v/>
      </c>
      <c r="O9" s="4" t="n">
        <v>7.64895899999999</v>
      </c>
      <c r="P9" s="9"/>
      <c r="Q9" s="5" t="str">
        <f aca="false">IF(AND(ISNUMBER(P9),ISNUMBER(O9)),P9-O9,"")</f>
        <v/>
      </c>
      <c r="R9" s="10" t="n">
        <v>731.734711525745</v>
      </c>
      <c r="S9" s="9"/>
      <c r="T9" s="11" t="str">
        <f aca="false">IF(AND(ISNUMBER(S9),ISNUMBER(R9)),IF(S9&lt;&gt;0,R9/S9,""),"")</f>
        <v/>
      </c>
      <c r="U9" s="12" t="str">
        <f aca="false">IF(COUNT(S$2:S$11)=ROWS(S$2:S$11),RANK(R9,R$2:R$11,1)-RANK(S9,S$2:S$11,1),"")</f>
        <v/>
      </c>
      <c r="V9" s="13"/>
      <c r="W9" s="13"/>
      <c r="X9" s="14"/>
      <c r="Y9" s="15"/>
      <c r="Z9" s="16" t="str">
        <f aca="false">"set1_CM/fields/point"&amp;TEXT(A9,"00")&amp;"_wv"&amp;TEXT(D9,"0")&amp;"nm_amp"&amp;INT(ROUND(F9*100,0)/100)&amp;"."&amp;TEXT(MOD(ROUND(F9*100,0),100),"00")&amp;"pct.vtk"</f>
        <v>set1_CM/fields/point08_wv240nm_amp0.48pct.vtk</v>
      </c>
    </row>
    <row r="10" customFormat="false" ht="111.75" hidden="false" customHeight="true" outlineLevel="0" collapsed="false">
      <c r="A10" s="2" t="n">
        <v>9</v>
      </c>
      <c r="B10" s="3"/>
      <c r="C10" s="4" t="n">
        <v>51</v>
      </c>
      <c r="D10" s="2" t="n">
        <v>160</v>
      </c>
      <c r="E10" s="5" t="n">
        <f aca="false">Notes!$B$4/D10</f>
        <v>4</v>
      </c>
      <c r="F10" s="4" t="n">
        <v>0.48</v>
      </c>
      <c r="G10" s="6" t="n">
        <f aca="false">C10+F10*IF((Notes!$B$4-Notes!$B$6)/D10&gt;=0.75,-1,MIN(0,SIN(2*PI()*(Notes!$B$4-Notes!$B$6)/D10)))</f>
        <v>50.52</v>
      </c>
      <c r="H10" s="6" t="n">
        <f aca="false">C10+F10*IF((Notes!$B$4-Notes!$B$6)/D10&gt;=0.25,1,SIN(2*PI()*(Notes!$B$4-Notes!$B$6)/D10))</f>
        <v>51.48</v>
      </c>
      <c r="I10" s="2" t="n">
        <v>1403.69923690996</v>
      </c>
      <c r="J10" s="7"/>
      <c r="K10" s="8" t="str">
        <f aca="false">IF(AND(ISNUMBER(J10),ISNUMBER(I10)),J10-I10,"")</f>
        <v/>
      </c>
      <c r="L10" s="2" t="n">
        <v>1749.6312767733</v>
      </c>
      <c r="M10" s="7"/>
      <c r="N10" s="8" t="str">
        <f aca="false">IF(AND(ISNUMBER(M10),ISNUMBER(L10)),M10-L10,"")</f>
        <v/>
      </c>
      <c r="O10" s="4" t="n">
        <v>7.64311299999999</v>
      </c>
      <c r="P10" s="9"/>
      <c r="Q10" s="5" t="str">
        <f aca="false">IF(AND(ISNUMBER(P10),ISNUMBER(O10)),P10-O10,"")</f>
        <v/>
      </c>
      <c r="R10" s="10" t="n">
        <v>741.859239328738</v>
      </c>
      <c r="S10" s="9"/>
      <c r="T10" s="11" t="str">
        <f aca="false">IF(AND(ISNUMBER(S10),ISNUMBER(R10)),IF(S10&lt;&gt;0,R10/S10,""),"")</f>
        <v/>
      </c>
      <c r="U10" s="12" t="str">
        <f aca="false">IF(COUNT(S$2:S$11)=ROWS(S$2:S$11),RANK(R10,R$2:R$11,1)-RANK(S10,S$2:S$11,1),"")</f>
        <v/>
      </c>
      <c r="V10" s="13"/>
      <c r="W10" s="13"/>
      <c r="X10" s="14"/>
      <c r="Y10" s="15"/>
      <c r="Z10" s="16" t="str">
        <f aca="false">"set1_CM/fields/point"&amp;TEXT(A10,"00")&amp;"_wv"&amp;TEXT(D10,"0")&amp;"nm_amp"&amp;INT(ROUND(F10*100,0)/100)&amp;"."&amp;TEXT(MOD(ROUND(F10*100,0),100),"00")&amp;"pct.vtk"</f>
        <v>set1_CM/fields/point09_wv160nm_amp0.48pct.vtk</v>
      </c>
    </row>
    <row r="11" customFormat="false" ht="111.75" hidden="false" customHeight="true" outlineLevel="0" collapsed="false">
      <c r="A11" s="2" t="n">
        <v>10</v>
      </c>
      <c r="B11" s="3"/>
      <c r="C11" s="4" t="n">
        <v>51</v>
      </c>
      <c r="D11" s="2" t="n">
        <v>160</v>
      </c>
      <c r="E11" s="5" t="n">
        <f aca="false">Notes!$B$4/D11</f>
        <v>4</v>
      </c>
      <c r="F11" s="4" t="n">
        <v>0.44</v>
      </c>
      <c r="G11" s="6" t="n">
        <f aca="false">C11+F11*IF((Notes!$B$4-Notes!$B$6)/D11&gt;=0.75,-1,MIN(0,SIN(2*PI()*(Notes!$B$4-Notes!$B$6)/D11)))</f>
        <v>50.56</v>
      </c>
      <c r="H11" s="6" t="n">
        <f aca="false">C11+F11*IF((Notes!$B$4-Notes!$B$6)/D11&gt;=0.25,1,SIN(2*PI()*(Notes!$B$4-Notes!$B$6)/D11))</f>
        <v>51.44</v>
      </c>
      <c r="I11" s="2" t="n">
        <v>1404.60593589585</v>
      </c>
      <c r="J11" s="7"/>
      <c r="K11" s="8" t="str">
        <f aca="false">IF(AND(ISNUMBER(J11),ISNUMBER(I11)),J11-I11,"")</f>
        <v/>
      </c>
      <c r="L11" s="2" t="n">
        <v>1749.65293005789</v>
      </c>
      <c r="M11" s="7"/>
      <c r="N11" s="8" t="str">
        <f aca="false">IF(AND(ISNUMBER(M11),ISNUMBER(L11)),M11-L11,"")</f>
        <v/>
      </c>
      <c r="O11" s="4" t="n">
        <v>7.64497699999999</v>
      </c>
      <c r="P11" s="9"/>
      <c r="Q11" s="5" t="str">
        <f aca="false">IF(AND(ISNUMBER(P11),ISNUMBER(O11)),P11-O11,"")</f>
        <v/>
      </c>
      <c r="R11" s="10" t="n">
        <v>749.678589646605</v>
      </c>
      <c r="S11" s="9"/>
      <c r="T11" s="11" t="str">
        <f aca="false">IF(AND(ISNUMBER(S11),ISNUMBER(R11)),IF(S11&lt;&gt;0,R11/S11,""),"")</f>
        <v/>
      </c>
      <c r="U11" s="12" t="str">
        <f aca="false">IF(COUNT(S$2:S$11)=ROWS(S$2:S$11),RANK(R11,R$2:R$11,1)-RANK(S11,S$2:S$11,1),"")</f>
        <v/>
      </c>
      <c r="V11" s="13"/>
      <c r="W11" s="13"/>
      <c r="X11" s="14"/>
      <c r="Y11" s="15"/>
      <c r="Z11" s="16" t="str">
        <f aca="false">"set1_CM/fields/point"&amp;TEXT(A11,"00")&amp;"_wv"&amp;TEXT(D11,"0")&amp;"nm_amp"&amp;INT(ROUND(F11*100,0)/100)&amp;"."&amp;TEXT(MOD(ROUND(F11*100,0),100),"00")&amp;"pct.vtk"</f>
        <v>set1_CM/fields/point10_wv160nm_amp0.44pct.vtk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46"/>
  </cols>
  <sheetData>
    <row r="1" customFormat="false" ht="42" hidden="false" customHeight="true" outlineLevel="0" collapsed="false">
      <c r="A1" s="1" t="s">
        <v>0</v>
      </c>
      <c r="B1" s="1" t="s">
        <v>1</v>
      </c>
      <c r="C1" s="1" t="s">
        <v>2</v>
      </c>
      <c r="D1" s="1" t="s">
        <v>3</v>
      </c>
      <c r="E1" s="1" t="str">
        <f aca="false">"waves / "&amp;Notes!$B$5&amp;"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50.55</v>
      </c>
      <c r="D2" s="2" t="n">
        <v>80</v>
      </c>
      <c r="E2" s="5" t="n">
        <f aca="false">Notes!$B$5/D2</f>
        <v>8</v>
      </c>
      <c r="F2" s="4" t="n">
        <v>0.88</v>
      </c>
      <c r="G2" s="6" t="n">
        <f aca="false">C2+F2*IF((Notes!$B$5-Notes!$B$7)/D2&gt;=0.75,-1,MIN(0,SIN(2*PI()*(Notes!$B$5-Notes!$B$7)/D2)))</f>
        <v>49.67</v>
      </c>
      <c r="H2" s="6" t="n">
        <f aca="false">C2+F2*IF((Notes!$B$5-Notes!$B$7)/D2&gt;=0.25,1,SIN(2*PI()*(Notes!$B$5-Notes!$B$7)/D2))</f>
        <v>51.43</v>
      </c>
      <c r="I2" s="2" t="n">
        <v>252.941476967729</v>
      </c>
      <c r="J2" s="7"/>
      <c r="K2" s="8" t="str">
        <f aca="false">IF(AND(ISNUMBER(J2),ISNUMBER(I2)),J2-I2,"")</f>
        <v/>
      </c>
      <c r="L2" s="2" t="n">
        <v>1272.77675106126</v>
      </c>
      <c r="M2" s="7"/>
      <c r="N2" s="8" t="str">
        <f aca="false">IF(AND(ISNUMBER(M2),ISNUMBER(L2)),M2-L2,"")</f>
        <v/>
      </c>
      <c r="O2" s="4" t="n">
        <v>7.51738999999999</v>
      </c>
      <c r="P2" s="9"/>
      <c r="Q2" s="5" t="str">
        <f aca="false">IF(AND(ISNUMBER(P2),ISNUMBER(O2)),P2-O2,"")</f>
        <v/>
      </c>
      <c r="R2" s="10" t="n">
        <v>194.037396072618</v>
      </c>
      <c r="S2" s="9"/>
      <c r="T2" s="11" t="str">
        <f aca="false">IF(AND(ISNUMBER(S2),ISNUMBER(R2)),IF(S2&lt;&gt;0,R2/S2,""),"")</f>
        <v/>
      </c>
      <c r="U2" s="12" t="str">
        <f aca="false">IF(COUNT(S$2:S$11)=ROWS(S$2:S$11),RANK(R2,R$2:R$11,1)-RANK(S2,S$2:S$11,1),"")</f>
        <v/>
      </c>
      <c r="V2" s="13"/>
      <c r="W2" s="13"/>
      <c r="X2" s="14"/>
      <c r="Y2" s="15"/>
      <c r="Z2" s="16" t="str">
        <f aca="false">"set2_CM/fields/point"&amp;TEXT(A2,"00")&amp;"_wv"&amp;TEXT(D2,"0")&amp;"nm_amp"&amp;INT(ROUND(F2*100,0)/100)&amp;"."&amp;TEXT(MOD(ROUND(F2*100,0),100),"00")&amp;"pct.vtk"</f>
        <v>set2_CM/fields/point01_wv80nm_amp0.88pct.vtk</v>
      </c>
    </row>
    <row r="3" customFormat="false" ht="111.75" hidden="false" customHeight="true" outlineLevel="0" collapsed="false">
      <c r="A3" s="2" t="n">
        <v>2</v>
      </c>
      <c r="B3" s="3"/>
      <c r="C3" s="4" t="n">
        <v>50.55</v>
      </c>
      <c r="D3" s="2" t="n">
        <v>320</v>
      </c>
      <c r="E3" s="5" t="n">
        <f aca="false">Notes!$B$5/D3</f>
        <v>2</v>
      </c>
      <c r="F3" s="4" t="n">
        <v>0.92</v>
      </c>
      <c r="G3" s="6" t="n">
        <f aca="false">C3+F3*IF((Notes!$B$5-Notes!$B$7)/D3&gt;=0.75,-1,MIN(0,SIN(2*PI()*(Notes!$B$5-Notes!$B$7)/D3)))</f>
        <v>49.63</v>
      </c>
      <c r="H3" s="6" t="n">
        <f aca="false">C3+F3*IF((Notes!$B$5-Notes!$B$7)/D3&gt;=0.25,1,SIN(2*PI()*(Notes!$B$5-Notes!$B$7)/D3))</f>
        <v>51.47</v>
      </c>
      <c r="I3" s="2" t="n">
        <v>252.932975417789</v>
      </c>
      <c r="J3" s="7"/>
      <c r="K3" s="8" t="str">
        <f aca="false">IF(AND(ISNUMBER(J3),ISNUMBER(I3)),J3-I3,"")</f>
        <v/>
      </c>
      <c r="L3" s="2" t="n">
        <v>1271.95778259744</v>
      </c>
      <c r="M3" s="7"/>
      <c r="N3" s="8" t="str">
        <f aca="false">IF(AND(ISNUMBER(M3),ISNUMBER(L3)),M3-L3,"")</f>
        <v/>
      </c>
      <c r="O3" s="4" t="n">
        <v>7.51647999999999</v>
      </c>
      <c r="P3" s="9"/>
      <c r="Q3" s="5" t="str">
        <f aca="false">IF(AND(ISNUMBER(P3),ISNUMBER(O3)),P3-O3,"")</f>
        <v/>
      </c>
      <c r="R3" s="10" t="n">
        <v>194.398322200401</v>
      </c>
      <c r="S3" s="9"/>
      <c r="T3" s="11" t="str">
        <f aca="false">IF(AND(ISNUMBER(S3),ISNUMBER(R3)),IF(S3&lt;&gt;0,R3/S3,""),"")</f>
        <v/>
      </c>
      <c r="U3" s="12" t="str">
        <f aca="false">IF(COUNT(S$2:S$11)=ROWS(S$2:S$11),RANK(R3,R$2:R$11,1)-RANK(S3,S$2:S$11,1),"")</f>
        <v/>
      </c>
      <c r="V3" s="13"/>
      <c r="W3" s="13"/>
      <c r="X3" s="14"/>
      <c r="Y3" s="15"/>
      <c r="Z3" s="16" t="str">
        <f aca="false">"set2_CM/fields/point"&amp;TEXT(A3,"00")&amp;"_wv"&amp;TEXT(D3,"0")&amp;"nm_amp"&amp;INT(ROUND(F3*100,0)/100)&amp;"."&amp;TEXT(MOD(ROUND(F3*100,0),100),"00")&amp;"pct.vtk"</f>
        <v>set2_CM/fields/point02_wv320nm_amp0.92pct.vtk</v>
      </c>
    </row>
    <row r="4" customFormat="false" ht="111.75" hidden="false" customHeight="true" outlineLevel="0" collapsed="false">
      <c r="A4" s="2" t="n">
        <v>3</v>
      </c>
      <c r="B4" s="3"/>
      <c r="C4" s="4" t="n">
        <v>50.55</v>
      </c>
      <c r="D4" s="2" t="n">
        <v>240</v>
      </c>
      <c r="E4" s="5" t="n">
        <f aca="false">Notes!$B$5/D4</f>
        <v>2.66666666666667</v>
      </c>
      <c r="F4" s="4" t="n">
        <v>0.8</v>
      </c>
      <c r="G4" s="6" t="n">
        <f aca="false">C4+F4*IF((Notes!$B$5-Notes!$B$7)/D4&gt;=0.75,-1,MIN(0,SIN(2*PI()*(Notes!$B$5-Notes!$B$7)/D4)))</f>
        <v>49.75</v>
      </c>
      <c r="H4" s="6" t="n">
        <f aca="false">C4+F4*IF((Notes!$B$5-Notes!$B$7)/D4&gt;=0.25,1,SIN(2*PI()*(Notes!$B$5-Notes!$B$7)/D4))</f>
        <v>51.35</v>
      </c>
      <c r="I4" s="2" t="n">
        <v>252.941476967729</v>
      </c>
      <c r="J4" s="7"/>
      <c r="K4" s="8" t="str">
        <f aca="false">IF(AND(ISNUMBER(J4),ISNUMBER(I4)),J4-I4,"")</f>
        <v/>
      </c>
      <c r="L4" s="2" t="n">
        <v>1274.36021618533</v>
      </c>
      <c r="M4" s="7"/>
      <c r="N4" s="8" t="str">
        <f aca="false">IF(AND(ISNUMBER(M4),ISNUMBER(L4)),M4-L4,"")</f>
        <v/>
      </c>
      <c r="O4" s="4" t="n">
        <v>7.51820299999999</v>
      </c>
      <c r="P4" s="9"/>
      <c r="Q4" s="5" t="str">
        <f aca="false">IF(AND(ISNUMBER(P4),ISNUMBER(O4)),P4-O4,"")</f>
        <v/>
      </c>
      <c r="R4" s="10" t="n">
        <v>195.04844034153</v>
      </c>
      <c r="S4" s="9"/>
      <c r="T4" s="11" t="str">
        <f aca="false">IF(AND(ISNUMBER(S4),ISNUMBER(R4)),IF(S4&lt;&gt;0,R4/S4,""),"")</f>
        <v/>
      </c>
      <c r="U4" s="12" t="str">
        <f aca="false">IF(COUNT(S$2:S$11)=ROWS(S$2:S$11),RANK(R4,R$2:R$11,1)-RANK(S4,S$2:S$11,1),"")</f>
        <v/>
      </c>
      <c r="V4" s="13"/>
      <c r="W4" s="13"/>
      <c r="X4" s="14"/>
      <c r="Y4" s="15"/>
      <c r="Z4" s="16" t="str">
        <f aca="false">"set2_CM/fields/point"&amp;TEXT(A4,"00")&amp;"_wv"&amp;TEXT(D4,"0")&amp;"nm_amp"&amp;INT(ROUND(F4*100,0)/100)&amp;"."&amp;TEXT(MOD(ROUND(F4*100,0),100),"00")&amp;"pct.vtk"</f>
        <v>set2_CM/fields/point03_wv240nm_amp0.80pct.vtk</v>
      </c>
    </row>
    <row r="5" customFormat="false" ht="111.75" hidden="false" customHeight="true" outlineLevel="0" collapsed="false">
      <c r="A5" s="2" t="n">
        <v>4</v>
      </c>
      <c r="B5" s="3"/>
      <c r="C5" s="4" t="n">
        <v>50.55</v>
      </c>
      <c r="D5" s="2" t="n">
        <v>640</v>
      </c>
      <c r="E5" s="5" t="n">
        <f aca="false">Notes!$B$5/D5</f>
        <v>1</v>
      </c>
      <c r="F5" s="4" t="n">
        <v>1</v>
      </c>
      <c r="G5" s="6" t="n">
        <f aca="false">C5+F5*IF((Notes!$B$5-Notes!$B$7)/D5&gt;=0.75,-1,MIN(0,SIN(2*PI()*(Notes!$B$5-Notes!$B$7)/D5)))</f>
        <v>49.55</v>
      </c>
      <c r="H5" s="6" t="n">
        <f aca="false">C5+F5*IF((Notes!$B$5-Notes!$B$7)/D5&gt;=0.25,1,SIN(2*PI()*(Notes!$B$5-Notes!$B$7)/D5))</f>
        <v>51.55</v>
      </c>
      <c r="I5" s="2" t="n">
        <v>244.381588889695</v>
      </c>
      <c r="J5" s="7"/>
      <c r="K5" s="8" t="str">
        <f aca="false">IF(AND(ISNUMBER(J5),ISNUMBER(I5)),J5-I5,"")</f>
        <v/>
      </c>
      <c r="L5" s="2" t="n">
        <v>1240.57518622454</v>
      </c>
      <c r="M5" s="7"/>
      <c r="N5" s="8" t="str">
        <f aca="false">IF(AND(ISNUMBER(M5),ISNUMBER(L5)),M5-L5,"")</f>
        <v/>
      </c>
      <c r="O5" s="4" t="n">
        <v>7.54008299999999</v>
      </c>
      <c r="P5" s="9"/>
      <c r="Q5" s="5" t="str">
        <f aca="false">IF(AND(ISNUMBER(P5),ISNUMBER(O5)),P5-O5,"")</f>
        <v/>
      </c>
      <c r="R5" s="10" t="n">
        <v>265.165023707051</v>
      </c>
      <c r="S5" s="9"/>
      <c r="T5" s="11" t="str">
        <f aca="false">IF(AND(ISNUMBER(S5),ISNUMBER(R5)),IF(S5&lt;&gt;0,R5/S5,""),"")</f>
        <v/>
      </c>
      <c r="U5" s="12" t="str">
        <f aca="false">IF(COUNT(S$2:S$11)=ROWS(S$2:S$11),RANK(R5,R$2:R$11,1)-RANK(S5,S$2:S$11,1),"")</f>
        <v/>
      </c>
      <c r="V5" s="13"/>
      <c r="W5" s="13"/>
      <c r="X5" s="14"/>
      <c r="Y5" s="15"/>
      <c r="Z5" s="16" t="str">
        <f aca="false">"set2_CM/fields/point"&amp;TEXT(A5,"00")&amp;"_wv"&amp;TEXT(D5,"0")&amp;"nm_amp"&amp;INT(ROUND(F5*100,0)/100)&amp;"."&amp;TEXT(MOD(ROUND(F5*100,0),100),"00")&amp;"pct.vtk"</f>
        <v>set2_CM/fields/point04_wv640nm_amp1.00pct.vtk</v>
      </c>
    </row>
    <row r="6" customFormat="false" ht="111.75" hidden="false" customHeight="true" outlineLevel="0" collapsed="false">
      <c r="A6" s="2" t="n">
        <v>5</v>
      </c>
      <c r="B6" s="3"/>
      <c r="C6" s="4" t="n">
        <v>50.55</v>
      </c>
      <c r="D6" s="2" t="n">
        <v>480</v>
      </c>
      <c r="E6" s="5" t="n">
        <f aca="false">Notes!$B$5/D6</f>
        <v>1.33333333333333</v>
      </c>
      <c r="F6" s="4" t="n">
        <v>0.92</v>
      </c>
      <c r="G6" s="6" t="n">
        <f aca="false">C6+F6*IF((Notes!$B$5-Notes!$B$7)/D6&gt;=0.75,-1,MIN(0,SIN(2*PI()*(Notes!$B$5-Notes!$B$7)/D6)))</f>
        <v>49.63</v>
      </c>
      <c r="H6" s="6" t="n">
        <f aca="false">C6+F6*IF((Notes!$B$5-Notes!$B$7)/D6&gt;=0.25,1,SIN(2*PI()*(Notes!$B$5-Notes!$B$7)/D6))</f>
        <v>51.47</v>
      </c>
      <c r="I6" s="2" t="n">
        <v>244.510942148903</v>
      </c>
      <c r="J6" s="7"/>
      <c r="K6" s="8" t="str">
        <f aca="false">IF(AND(ISNUMBER(J6),ISNUMBER(I6)),J6-I6,"")</f>
        <v/>
      </c>
      <c r="L6" s="2" t="n">
        <v>1241.43819349573</v>
      </c>
      <c r="M6" s="7"/>
      <c r="N6" s="8" t="str">
        <f aca="false">IF(AND(ISNUMBER(M6),ISNUMBER(L6)),M6-L6,"")</f>
        <v/>
      </c>
      <c r="O6" s="4" t="n">
        <v>7.54310199999999</v>
      </c>
      <c r="P6" s="9"/>
      <c r="Q6" s="5" t="str">
        <f aca="false">IF(AND(ISNUMBER(P6),ISNUMBER(O6)),P6-O6,"")</f>
        <v/>
      </c>
      <c r="R6" s="10" t="n">
        <v>265.45253270235</v>
      </c>
      <c r="S6" s="9"/>
      <c r="T6" s="11" t="str">
        <f aca="false">IF(AND(ISNUMBER(S6),ISNUMBER(R6)),IF(S6&lt;&gt;0,R6/S6,""),"")</f>
        <v/>
      </c>
      <c r="U6" s="12" t="str">
        <f aca="false">IF(COUNT(S$2:S$11)=ROWS(S$2:S$11),RANK(R6,R$2:R$11,1)-RANK(S6,S$2:S$11,1),"")</f>
        <v/>
      </c>
      <c r="V6" s="13"/>
      <c r="W6" s="13"/>
      <c r="X6" s="14"/>
      <c r="Y6" s="15"/>
      <c r="Z6" s="16" t="str">
        <f aca="false">"set2_CM/fields/point"&amp;TEXT(A6,"00")&amp;"_wv"&amp;TEXT(D6,"0")&amp;"nm_amp"&amp;INT(ROUND(F6*100,0)/100)&amp;"."&amp;TEXT(MOD(ROUND(F6*100,0),100),"00")&amp;"pct.vtk"</f>
        <v>set2_CM/fields/point05_wv480nm_amp0.92pct.vtk</v>
      </c>
    </row>
    <row r="7" customFormat="false" ht="111.75" hidden="false" customHeight="true" outlineLevel="0" collapsed="false">
      <c r="A7" s="2" t="n">
        <v>6</v>
      </c>
      <c r="B7" s="3"/>
      <c r="C7" s="4" t="n">
        <v>50.55</v>
      </c>
      <c r="D7" s="2" t="n">
        <v>640</v>
      </c>
      <c r="E7" s="5" t="n">
        <f aca="false">Notes!$B$5/D7</f>
        <v>1</v>
      </c>
      <c r="F7" s="4" t="n">
        <v>0.8</v>
      </c>
      <c r="G7" s="6" t="n">
        <f aca="false">C7+F7*IF((Notes!$B$5-Notes!$B$7)/D7&gt;=0.75,-1,MIN(0,SIN(2*PI()*(Notes!$B$5-Notes!$B$7)/D7)))</f>
        <v>49.75</v>
      </c>
      <c r="H7" s="6" t="n">
        <f aca="false">C7+F7*IF((Notes!$B$5-Notes!$B$7)/D7&gt;=0.25,1,SIN(2*PI()*(Notes!$B$5-Notes!$B$7)/D7))</f>
        <v>51.35</v>
      </c>
      <c r="I7" s="2" t="n">
        <v>244.518491839956</v>
      </c>
      <c r="J7" s="7"/>
      <c r="K7" s="8" t="str">
        <f aca="false">IF(AND(ISNUMBER(J7),ISNUMBER(I7)),J7-I7,"")</f>
        <v/>
      </c>
      <c r="L7" s="2" t="n">
        <v>1244.01182011071</v>
      </c>
      <c r="M7" s="7"/>
      <c r="N7" s="8" t="str">
        <f aca="false">IF(AND(ISNUMBER(M7),ISNUMBER(L7)),M7-L7,"")</f>
        <v/>
      </c>
      <c r="O7" s="4" t="n">
        <v>7.54482499999999</v>
      </c>
      <c r="P7" s="9"/>
      <c r="Q7" s="5" t="str">
        <f aca="false">IF(AND(ISNUMBER(P7),ISNUMBER(O7)),P7-O7,"")</f>
        <v/>
      </c>
      <c r="R7" s="10" t="n">
        <v>266.130053765627</v>
      </c>
      <c r="S7" s="9"/>
      <c r="T7" s="11" t="str">
        <f aca="false">IF(AND(ISNUMBER(S7),ISNUMBER(R7)),IF(S7&lt;&gt;0,R7/S7,""),"")</f>
        <v/>
      </c>
      <c r="U7" s="12" t="str">
        <f aca="false">IF(COUNT(S$2:S$11)=ROWS(S$2:S$11),RANK(R7,R$2:R$11,1)-RANK(S7,S$2:S$11,1),"")</f>
        <v/>
      </c>
      <c r="V7" s="13"/>
      <c r="W7" s="13"/>
      <c r="X7" s="14"/>
      <c r="Y7" s="15"/>
      <c r="Z7" s="16" t="str">
        <f aca="false">"set2_CM/fields/point"&amp;TEXT(A7,"00")&amp;"_wv"&amp;TEXT(D7,"0")&amp;"nm_amp"&amp;INT(ROUND(F7*100,0)/100)&amp;"."&amp;TEXT(MOD(ROUND(F7*100,0),100),"00")&amp;"pct.vtk"</f>
        <v>set2_CM/fields/point06_wv640nm_amp0.80pct.vtk</v>
      </c>
    </row>
    <row r="8" customFormat="false" ht="111.75" hidden="false" customHeight="true" outlineLevel="0" collapsed="false">
      <c r="A8" s="2" t="n">
        <v>7</v>
      </c>
      <c r="B8" s="3"/>
      <c r="C8" s="4" t="n">
        <v>50.55</v>
      </c>
      <c r="D8" s="2" t="n">
        <v>1280</v>
      </c>
      <c r="E8" s="5" t="n">
        <f aca="false">Notes!$B$5/D8</f>
        <v>0.5</v>
      </c>
      <c r="F8" s="4" t="n">
        <v>0.68</v>
      </c>
      <c r="G8" s="6" t="n">
        <f aca="false">C8+F8*IF((Notes!$B$5-Notes!$B$7)/D8&gt;=0.75,-1,MIN(0,SIN(2*PI()*(Notes!$B$5-Notes!$B$7)/D8)))</f>
        <v>50.55</v>
      </c>
      <c r="H8" s="6" t="n">
        <f aca="false">C8+F8*IF((Notes!$B$5-Notes!$B$7)/D8&gt;=0.25,1,SIN(2*PI()*(Notes!$B$5-Notes!$B$7)/D8))</f>
        <v>51.23</v>
      </c>
      <c r="I8" s="2" t="n">
        <v>312.794696376031</v>
      </c>
      <c r="J8" s="7"/>
      <c r="K8" s="8" t="str">
        <f aca="false">IF(AND(ISNUMBER(J8),ISNUMBER(I8)),J8-I8,"")</f>
        <v/>
      </c>
      <c r="L8" s="2" t="n">
        <v>1161.08798987177</v>
      </c>
      <c r="M8" s="7"/>
      <c r="N8" s="8" t="str">
        <f aca="false">IF(AND(ISNUMBER(M8),ISNUMBER(L8)),M8-L8,"")</f>
        <v/>
      </c>
      <c r="O8" s="4" t="n">
        <v>7.66023</v>
      </c>
      <c r="P8" s="9"/>
      <c r="Q8" s="5" t="str">
        <f aca="false">IF(AND(ISNUMBER(P8),ISNUMBER(O8)),P8-O8,"")</f>
        <v/>
      </c>
      <c r="R8" s="10" t="n">
        <v>612.727627704531</v>
      </c>
      <c r="S8" s="9"/>
      <c r="T8" s="11" t="str">
        <f aca="false">IF(AND(ISNUMBER(S8),ISNUMBER(R8)),IF(S8&lt;&gt;0,R8/S8,""),"")</f>
        <v/>
      </c>
      <c r="U8" s="12" t="str">
        <f aca="false">IF(COUNT(S$2:S$11)=ROWS(S$2:S$11),RANK(R8,R$2:R$11,1)-RANK(S8,S$2:S$11,1),"")</f>
        <v/>
      </c>
      <c r="V8" s="13"/>
      <c r="W8" s="13"/>
      <c r="X8" s="14"/>
      <c r="Y8" s="15"/>
      <c r="Z8" s="16" t="str">
        <f aca="false">"set2_CM/fields/point"&amp;TEXT(A8,"00")&amp;"_wv"&amp;TEXT(D8,"0")&amp;"nm_amp"&amp;INT(ROUND(F8*100,0)/100)&amp;"."&amp;TEXT(MOD(ROUND(F8*100,0),100),"00")&amp;"pct.vtk"</f>
        <v>set2_CM/fields/point07_wv1280nm_amp0.68pct.vtk</v>
      </c>
    </row>
    <row r="9" customFormat="false" ht="111.75" hidden="false" customHeight="true" outlineLevel="0" collapsed="false">
      <c r="A9" s="2" t="n">
        <v>8</v>
      </c>
      <c r="B9" s="3"/>
      <c r="C9" s="4" t="n">
        <v>50.55</v>
      </c>
      <c r="D9" s="2" t="n">
        <v>1040</v>
      </c>
      <c r="E9" s="5" t="n">
        <f aca="false">Notes!$B$5/D9</f>
        <v>0.615384615384615</v>
      </c>
      <c r="F9" s="4" t="n">
        <v>0.56</v>
      </c>
      <c r="G9" s="6" t="n">
        <f aca="false">C9+F9*IF((Notes!$B$5-Notes!$B$7)/D9&gt;=0.75,-1,MIN(0,SIN(2*PI()*(Notes!$B$5-Notes!$B$7)/D9)))</f>
        <v>50.179919204589</v>
      </c>
      <c r="H9" s="6" t="n">
        <f aca="false">C9+F9*IF((Notes!$B$5-Notes!$B$7)/D9&gt;=0.25,1,SIN(2*PI()*(Notes!$B$5-Notes!$B$7)/D9))</f>
        <v>51.11</v>
      </c>
      <c r="I9" s="2" t="n">
        <v>312.794696376031</v>
      </c>
      <c r="J9" s="7"/>
      <c r="K9" s="8" t="str">
        <f aca="false">IF(AND(ISNUMBER(J9),ISNUMBER(I9)),J9-I9,"")</f>
        <v/>
      </c>
      <c r="L9" s="2" t="n">
        <v>1161.74939305885</v>
      </c>
      <c r="M9" s="7"/>
      <c r="N9" s="8" t="str">
        <f aca="false">IF(AND(ISNUMBER(M9),ISNUMBER(L9)),M9-L9,"")</f>
        <v/>
      </c>
      <c r="O9" s="4" t="n">
        <v>7.660533</v>
      </c>
      <c r="P9" s="9"/>
      <c r="Q9" s="5" t="str">
        <f aca="false">IF(AND(ISNUMBER(P9),ISNUMBER(O9)),P9-O9,"")</f>
        <v/>
      </c>
      <c r="R9" s="10" t="n">
        <v>613.002453735894</v>
      </c>
      <c r="S9" s="9"/>
      <c r="T9" s="11" t="str">
        <f aca="false">IF(AND(ISNUMBER(S9),ISNUMBER(R9)),IF(S9&lt;&gt;0,R9/S9,""),"")</f>
        <v/>
      </c>
      <c r="U9" s="12" t="str">
        <f aca="false">IF(COUNT(S$2:S$11)=ROWS(S$2:S$11),RANK(R9,R$2:R$11,1)-RANK(S9,S$2:S$11,1),"")</f>
        <v/>
      </c>
      <c r="V9" s="13"/>
      <c r="W9" s="13"/>
      <c r="X9" s="14"/>
      <c r="Y9" s="15"/>
      <c r="Z9" s="16" t="str">
        <f aca="false">"set2_CM/fields/point"&amp;TEXT(A9,"00")&amp;"_wv"&amp;TEXT(D9,"0")&amp;"nm_amp"&amp;INT(ROUND(F9*100,0)/100)&amp;"."&amp;TEXT(MOD(ROUND(F9*100,0),100),"00")&amp;"pct.vtk"</f>
        <v>set2_CM/fields/point08_wv1040nm_amp0.56pct.vtk</v>
      </c>
    </row>
    <row r="10" customFormat="false" ht="111.75" hidden="false" customHeight="true" outlineLevel="0" collapsed="false">
      <c r="A10" s="2" t="n">
        <v>9</v>
      </c>
      <c r="B10" s="3"/>
      <c r="C10" s="4" t="n">
        <v>50.55</v>
      </c>
      <c r="D10" s="2" t="n">
        <v>720</v>
      </c>
      <c r="E10" s="5" t="n">
        <f aca="false">Notes!$B$5/D10</f>
        <v>0.888888888888889</v>
      </c>
      <c r="F10" s="4" t="n">
        <v>0.6</v>
      </c>
      <c r="G10" s="6" t="n">
        <f aca="false">C10+F10*IF((Notes!$B$5-Notes!$B$7)/D10&gt;=0.75,-1,MIN(0,SIN(2*PI()*(Notes!$B$5-Notes!$B$7)/D10)))</f>
        <v>49.95</v>
      </c>
      <c r="H10" s="6" t="n">
        <f aca="false">C10+F10*IF((Notes!$B$5-Notes!$B$7)/D10&gt;=0.25,1,SIN(2*PI()*(Notes!$B$5-Notes!$B$7)/D10))</f>
        <v>51.15</v>
      </c>
      <c r="I10" s="2" t="n">
        <v>365.193909930287</v>
      </c>
      <c r="J10" s="7"/>
      <c r="K10" s="8" t="str">
        <f aca="false">IF(AND(ISNUMBER(J10),ISNUMBER(I10)),J10-I10,"")</f>
        <v/>
      </c>
      <c r="L10" s="2" t="n">
        <v>1153.32150850965</v>
      </c>
      <c r="M10" s="7"/>
      <c r="N10" s="8" t="str">
        <f aca="false">IF(AND(ISNUMBER(M10),ISNUMBER(L10)),M10-L10,"")</f>
        <v/>
      </c>
      <c r="O10" s="4" t="n">
        <v>7.677769</v>
      </c>
      <c r="P10" s="9"/>
      <c r="Q10" s="5" t="str">
        <f aca="false">IF(AND(ISNUMBER(P10),ISNUMBER(O10)),P10-O10,"")</f>
        <v/>
      </c>
      <c r="R10" s="10" t="n">
        <v>646.382176644298</v>
      </c>
      <c r="S10" s="9"/>
      <c r="T10" s="11" t="str">
        <f aca="false">IF(AND(ISNUMBER(S10),ISNUMBER(R10)),IF(S10&lt;&gt;0,R10/S10,""),"")</f>
        <v/>
      </c>
      <c r="U10" s="12" t="str">
        <f aca="false">IF(COUNT(S$2:S$11)=ROWS(S$2:S$11),RANK(R10,R$2:R$11,1)-RANK(S10,S$2:S$11,1),"")</f>
        <v/>
      </c>
      <c r="V10" s="13"/>
      <c r="W10" s="13"/>
      <c r="X10" s="14"/>
      <c r="Y10" s="15"/>
      <c r="Z10" s="16" t="str">
        <f aca="false">"set2_CM/fields/point"&amp;TEXT(A10,"00")&amp;"_wv"&amp;TEXT(D10,"0")&amp;"nm_amp"&amp;INT(ROUND(F10*100,0)/100)&amp;"."&amp;TEXT(MOD(ROUND(F10*100,0),100),"00")&amp;"pct.vtk"</f>
        <v>set2_CM/fields/point09_wv720nm_amp0.60pct.vtk</v>
      </c>
    </row>
    <row r="11" customFormat="false" ht="111.75" hidden="false" customHeight="true" outlineLevel="0" collapsed="false">
      <c r="A11" s="2" t="n">
        <v>10</v>
      </c>
      <c r="B11" s="3"/>
      <c r="C11" s="4" t="n">
        <v>50.55</v>
      </c>
      <c r="D11" s="2" t="n">
        <v>720</v>
      </c>
      <c r="E11" s="5" t="n">
        <f aca="false">Notes!$B$5/D11</f>
        <v>0.888888888888889</v>
      </c>
      <c r="F11" s="4" t="n">
        <v>0.04</v>
      </c>
      <c r="G11" s="6" t="n">
        <f aca="false">C11+F11*IF((Notes!$B$5-Notes!$B$7)/D11&gt;=0.75,-1,MIN(0,SIN(2*PI()*(Notes!$B$5-Notes!$B$7)/D11)))</f>
        <v>50.51</v>
      </c>
      <c r="H11" s="6" t="n">
        <f aca="false">C11+F11*IF((Notes!$B$5-Notes!$B$7)/D11&gt;=0.25,1,SIN(2*PI()*(Notes!$B$5-Notes!$B$7)/D11))</f>
        <v>50.59</v>
      </c>
      <c r="I11" s="2" t="n">
        <v>365.193909930287</v>
      </c>
      <c r="J11" s="7"/>
      <c r="K11" s="8" t="str">
        <f aca="false">IF(AND(ISNUMBER(J11),ISNUMBER(I11)),J11-I11,"")</f>
        <v/>
      </c>
      <c r="L11" s="2" t="n">
        <v>1147.99922817314</v>
      </c>
      <c r="M11" s="7"/>
      <c r="N11" s="8" t="str">
        <f aca="false">IF(AND(ISNUMBER(M11),ISNUMBER(L11)),M11-L11,"")</f>
        <v/>
      </c>
      <c r="O11" s="4" t="n">
        <v>7.680507</v>
      </c>
      <c r="P11" s="9"/>
      <c r="Q11" s="5" t="str">
        <f aca="false">IF(AND(ISNUMBER(P11),ISNUMBER(O11)),P11-O11,"")</f>
        <v/>
      </c>
      <c r="R11" s="10" t="n">
        <v>655.711579058753</v>
      </c>
      <c r="S11" s="9"/>
      <c r="T11" s="11" t="str">
        <f aca="false">IF(AND(ISNUMBER(S11),ISNUMBER(R11)),IF(S11&lt;&gt;0,R11/S11,""),"")</f>
        <v/>
      </c>
      <c r="U11" s="12" t="str">
        <f aca="false">IF(COUNT(S$2:S$11)=ROWS(S$2:S$11),RANK(R11,R$2:R$11,1)-RANK(S11,S$2:S$11,1),"")</f>
        <v/>
      </c>
      <c r="V11" s="13"/>
      <c r="W11" s="13"/>
      <c r="X11" s="14"/>
      <c r="Y11" s="15"/>
      <c r="Z11" s="16" t="str">
        <f aca="false">"set2_CM/fields/point"&amp;TEXT(A11,"00")&amp;"_wv"&amp;TEXT(D11,"0")&amp;"nm_amp"&amp;INT(ROUND(F11*100,0)/100)&amp;"."&amp;TEXT(MOD(ROUND(F11*100,0),100),"00")&amp;"pct.vtk"</f>
        <v>set2_CM/fields/point10_wv720nm_amp0.04pct.vtk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U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21" min="3" style="0" width="12"/>
  </cols>
  <sheetData>
    <row r="1" customFormat="false" ht="42" hidden="false" customHeight="true" outlineLevel="0" collapsed="false">
      <c r="A1" s="1" t="s">
        <v>25</v>
      </c>
      <c r="B1" s="1" t="s">
        <v>0</v>
      </c>
      <c r="C1" s="1" t="s">
        <v>2</v>
      </c>
      <c r="D1" s="1" t="s">
        <v>3</v>
      </c>
      <c r="E1" s="1" t="s">
        <v>26</v>
      </c>
      <c r="F1" s="1" t="s">
        <v>4</v>
      </c>
      <c r="G1" s="1" t="s">
        <v>7</v>
      </c>
      <c r="H1" s="1" t="s">
        <v>8</v>
      </c>
      <c r="I1" s="1" t="s">
        <v>9</v>
      </c>
      <c r="J1" s="1" t="s">
        <v>10</v>
      </c>
      <c r="K1" s="1" t="s">
        <v>11</v>
      </c>
      <c r="L1" s="1" t="s">
        <v>12</v>
      </c>
      <c r="M1" s="1" t="s">
        <v>13</v>
      </c>
      <c r="N1" s="1" t="s">
        <v>14</v>
      </c>
      <c r="O1" s="1" t="s">
        <v>15</v>
      </c>
      <c r="P1" s="1" t="s">
        <v>16</v>
      </c>
      <c r="Q1" s="1" t="s">
        <v>17</v>
      </c>
      <c r="R1" s="1" t="s">
        <v>18</v>
      </c>
      <c r="S1" s="1" t="s">
        <v>20</v>
      </c>
      <c r="T1" s="1" t="s">
        <v>21</v>
      </c>
      <c r="U1" s="1" t="s">
        <v>22</v>
      </c>
    </row>
    <row r="2" customFormat="false" ht="15" hidden="false" customHeight="false" outlineLevel="0" collapsed="false">
      <c r="A2" s="17" t="s">
        <v>27</v>
      </c>
      <c r="B2" s="18" t="n">
        <f aca="false">'Set 1'!A2</f>
        <v>1</v>
      </c>
      <c r="C2" s="19" t="n">
        <f aca="false">'Set 1'!C2</f>
        <v>51</v>
      </c>
      <c r="D2" s="18" t="n">
        <f aca="false">'Set 1'!D2</f>
        <v>400</v>
      </c>
      <c r="E2" s="19" t="n">
        <f aca="false">'Set 1'!E2</f>
        <v>1.6</v>
      </c>
      <c r="F2" s="19" t="n">
        <f aca="false">'Set 1'!F2</f>
        <v>0.56</v>
      </c>
      <c r="G2" s="18" t="n">
        <f aca="false">'Set 1'!I2</f>
        <v>1421.15811288509</v>
      </c>
      <c r="H2" s="18" t="str">
        <f aca="false">IF(ISNUMBER('Set 1'!J2),'Set 1'!J2,"")</f>
        <v/>
      </c>
      <c r="I2" s="18" t="str">
        <f aca="false">IF(ISNUMBER('Set 1'!K2),'Set 1'!K2,"")</f>
        <v/>
      </c>
      <c r="J2" s="18" t="n">
        <f aca="false">'Set 1'!L2</f>
        <v>1746.44105539347</v>
      </c>
      <c r="K2" s="18" t="str">
        <f aca="false">IF(ISNUMBER('Set 1'!M2),'Set 1'!M2,"")</f>
        <v/>
      </c>
      <c r="L2" s="18" t="str">
        <f aca="false">IF(ISNUMBER('Set 1'!N2),'Set 1'!N2,"")</f>
        <v/>
      </c>
      <c r="M2" s="19" t="n">
        <f aca="false">'Set 1'!O2</f>
        <v>7.550116</v>
      </c>
      <c r="N2" s="19" t="str">
        <f aca="false">IF(ISNUMBER('Set 1'!P2),'Set 1'!P2,"")</f>
        <v/>
      </c>
      <c r="O2" s="19" t="str">
        <f aca="false">IF(ISNUMBER('Set 1'!Q2),'Set 1'!Q2,"")</f>
        <v/>
      </c>
      <c r="P2" s="20" t="n">
        <f aca="false">'Set 1'!R2</f>
        <v>263.959090135506</v>
      </c>
      <c r="Q2" s="19" t="str">
        <f aca="false">IF(ISNUMBER('Set 1'!S2),'Set 1'!S2,"")</f>
        <v/>
      </c>
      <c r="R2" s="20" t="str">
        <f aca="false">IF(ISNUMBER('Set 1'!T2),'Set 1'!T2,"")</f>
        <v/>
      </c>
      <c r="S2" s="21" t="str">
        <f aca="false">IF(ISNUMBER('Set 1'!V2),'Set 1'!V2,"")</f>
        <v/>
      </c>
      <c r="T2" s="21" t="str">
        <f aca="false">IF(ISNUMBER('Set 1'!W2),'Set 1'!W2,"")</f>
        <v/>
      </c>
      <c r="U2" s="22" t="str">
        <f aca="false">IF(ISNUMBER('Set 1'!X2),'Set 1'!X2,"")</f>
        <v/>
      </c>
    </row>
    <row r="3" customFormat="false" ht="15" hidden="false" customHeight="false" outlineLevel="0" collapsed="false">
      <c r="A3" s="17" t="s">
        <v>27</v>
      </c>
      <c r="B3" s="18" t="n">
        <f aca="false">'Set 1'!A3</f>
        <v>2</v>
      </c>
      <c r="C3" s="19" t="n">
        <f aca="false">'Set 1'!C3</f>
        <v>51</v>
      </c>
      <c r="D3" s="18" t="n">
        <f aca="false">'Set 1'!D3</f>
        <v>960</v>
      </c>
      <c r="E3" s="19" t="n">
        <f aca="false">'Set 1'!E3</f>
        <v>0.666666666666667</v>
      </c>
      <c r="F3" s="19" t="n">
        <f aca="false">'Set 1'!F3</f>
        <v>0.52</v>
      </c>
      <c r="G3" s="18" t="n">
        <f aca="false">'Set 1'!I3</f>
        <v>1380.32366821806</v>
      </c>
      <c r="H3" s="18" t="str">
        <f aca="false">IF(ISNUMBER('Set 1'!J3),'Set 1'!J3,"")</f>
        <v/>
      </c>
      <c r="I3" s="18" t="str">
        <f aca="false">IF(ISNUMBER('Set 1'!K3),'Set 1'!K3,"")</f>
        <v/>
      </c>
      <c r="J3" s="18" t="n">
        <f aca="false">'Set 1'!L3</f>
        <v>1744.46534440925</v>
      </c>
      <c r="K3" s="18" t="str">
        <f aca="false">IF(ISNUMBER('Set 1'!M3),'Set 1'!M3,"")</f>
        <v/>
      </c>
      <c r="L3" s="18" t="str">
        <f aca="false">IF(ISNUMBER('Set 1'!N3),'Set 1'!N3,"")</f>
        <v/>
      </c>
      <c r="M3" s="19" t="n">
        <f aca="false">'Set 1'!O3</f>
        <v>7.61353533333333</v>
      </c>
      <c r="N3" s="19" t="str">
        <f aca="false">IF(ISNUMBER('Set 1'!P3),'Set 1'!P3,"")</f>
        <v/>
      </c>
      <c r="O3" s="19" t="str">
        <f aca="false">IF(ISNUMBER('Set 1'!Q3),'Set 1'!Q3,"")</f>
        <v/>
      </c>
      <c r="P3" s="20" t="n">
        <f aca="false">'Set 1'!R3</f>
        <v>543.22722833229</v>
      </c>
      <c r="Q3" s="19" t="str">
        <f aca="false">IF(ISNUMBER('Set 1'!S3),'Set 1'!S3,"")</f>
        <v/>
      </c>
      <c r="R3" s="20" t="str">
        <f aca="false">IF(ISNUMBER('Set 1'!T3),'Set 1'!T3,"")</f>
        <v/>
      </c>
      <c r="S3" s="21" t="str">
        <f aca="false">IF(ISNUMBER('Set 1'!V3),'Set 1'!V3,"")</f>
        <v/>
      </c>
      <c r="T3" s="21" t="str">
        <f aca="false">IF(ISNUMBER('Set 1'!W3),'Set 1'!W3,"")</f>
        <v/>
      </c>
      <c r="U3" s="22" t="str">
        <f aca="false">IF(ISNUMBER('Set 1'!X3),'Set 1'!X3,"")</f>
        <v/>
      </c>
    </row>
    <row r="4" customFormat="false" ht="15" hidden="false" customHeight="false" outlineLevel="0" collapsed="false">
      <c r="A4" s="17" t="s">
        <v>27</v>
      </c>
      <c r="B4" s="18" t="n">
        <f aca="false">'Set 1'!A4</f>
        <v>3</v>
      </c>
      <c r="C4" s="19" t="n">
        <f aca="false">'Set 1'!C4</f>
        <v>51</v>
      </c>
      <c r="D4" s="18" t="n">
        <f aca="false">'Set 1'!D4</f>
        <v>480</v>
      </c>
      <c r="E4" s="19" t="n">
        <f aca="false">'Set 1'!E4</f>
        <v>1.33333333333333</v>
      </c>
      <c r="F4" s="19" t="n">
        <f aca="false">'Set 1'!F4</f>
        <v>0.52</v>
      </c>
      <c r="G4" s="18" t="n">
        <f aca="false">'Set 1'!I4</f>
        <v>1408.29891867377</v>
      </c>
      <c r="H4" s="18" t="str">
        <f aca="false">IF(ISNUMBER('Set 1'!J4),'Set 1'!J4,"")</f>
        <v/>
      </c>
      <c r="I4" s="18" t="str">
        <f aca="false">IF(ISNUMBER('Set 1'!K4),'Set 1'!K4,"")</f>
        <v/>
      </c>
      <c r="J4" s="18" t="n">
        <f aca="false">'Set 1'!L4</f>
        <v>1745.71301367738</v>
      </c>
      <c r="K4" s="18" t="str">
        <f aca="false">IF(ISNUMBER('Set 1'!M4),'Set 1'!M4,"")</f>
        <v/>
      </c>
      <c r="L4" s="18" t="str">
        <f aca="false">IF(ISNUMBER('Set 1'!N4),'Set 1'!N4,"")</f>
        <v/>
      </c>
      <c r="M4" s="19" t="n">
        <f aca="false">'Set 1'!O4</f>
        <v>7.63308399999999</v>
      </c>
      <c r="N4" s="19" t="str">
        <f aca="false">IF(ISNUMBER('Set 1'!P4),'Set 1'!P4,"")</f>
        <v/>
      </c>
      <c r="O4" s="19" t="str">
        <f aca="false">IF(ISNUMBER('Set 1'!Q4),'Set 1'!Q4,"")</f>
        <v/>
      </c>
      <c r="P4" s="20" t="n">
        <f aca="false">'Set 1'!R4</f>
        <v>632.07201334017</v>
      </c>
      <c r="Q4" s="19" t="str">
        <f aca="false">IF(ISNUMBER('Set 1'!S4),'Set 1'!S4,"")</f>
        <v/>
      </c>
      <c r="R4" s="20" t="str">
        <f aca="false">IF(ISNUMBER('Set 1'!T4),'Set 1'!T4,"")</f>
        <v/>
      </c>
      <c r="S4" s="21" t="str">
        <f aca="false">IF(ISNUMBER('Set 1'!V4),'Set 1'!V4,"")</f>
        <v/>
      </c>
      <c r="T4" s="21" t="str">
        <f aca="false">IF(ISNUMBER('Set 1'!W4),'Set 1'!W4,"")</f>
        <v/>
      </c>
      <c r="U4" s="22" t="str">
        <f aca="false">IF(ISNUMBER('Set 1'!X4),'Set 1'!X4,"")</f>
        <v/>
      </c>
    </row>
    <row r="5" customFormat="false" ht="15" hidden="false" customHeight="false" outlineLevel="0" collapsed="false">
      <c r="A5" s="17" t="s">
        <v>27</v>
      </c>
      <c r="B5" s="18" t="n">
        <f aca="false">'Set 1'!A5</f>
        <v>4</v>
      </c>
      <c r="C5" s="19" t="n">
        <f aca="false">'Set 1'!C5</f>
        <v>51</v>
      </c>
      <c r="D5" s="18" t="n">
        <f aca="false">'Set 1'!D5</f>
        <v>240</v>
      </c>
      <c r="E5" s="19" t="n">
        <f aca="false">'Set 1'!E5</f>
        <v>2.66666666666667</v>
      </c>
      <c r="F5" s="19" t="n">
        <f aca="false">'Set 1'!F5</f>
        <v>0.52</v>
      </c>
      <c r="G5" s="18" t="n">
        <f aca="false">'Set 1'!I5</f>
        <v>1409.06706888271</v>
      </c>
      <c r="H5" s="18" t="str">
        <f aca="false">IF(ISNUMBER('Set 1'!J5),'Set 1'!J5,"")</f>
        <v/>
      </c>
      <c r="I5" s="18" t="str">
        <f aca="false">IF(ISNUMBER('Set 1'!K5),'Set 1'!K5,"")</f>
        <v/>
      </c>
      <c r="J5" s="18" t="n">
        <f aca="false">'Set 1'!L5</f>
        <v>1746.41676186042</v>
      </c>
      <c r="K5" s="18" t="str">
        <f aca="false">IF(ISNUMBER('Set 1'!M5),'Set 1'!M5,"")</f>
        <v/>
      </c>
      <c r="L5" s="18" t="str">
        <f aca="false">IF(ISNUMBER('Set 1'!N5),'Set 1'!N5,"")</f>
        <v/>
      </c>
      <c r="M5" s="19" t="n">
        <f aca="false">'Set 1'!O5</f>
        <v>7.62935699999999</v>
      </c>
      <c r="N5" s="19" t="str">
        <f aca="false">IF(ISNUMBER('Set 1'!P5),'Set 1'!P5,"")</f>
        <v/>
      </c>
      <c r="O5" s="19" t="str">
        <f aca="false">IF(ISNUMBER('Set 1'!Q5),'Set 1'!Q5,"")</f>
        <v/>
      </c>
      <c r="P5" s="20" t="n">
        <f aca="false">'Set 1'!R5</f>
        <v>650.201104432882</v>
      </c>
      <c r="Q5" s="19" t="str">
        <f aca="false">IF(ISNUMBER('Set 1'!S5),'Set 1'!S5,"")</f>
        <v/>
      </c>
      <c r="R5" s="20" t="str">
        <f aca="false">IF(ISNUMBER('Set 1'!T5),'Set 1'!T5,"")</f>
        <v/>
      </c>
      <c r="S5" s="21" t="str">
        <f aca="false">IF(ISNUMBER('Set 1'!V5),'Set 1'!V5,"")</f>
        <v/>
      </c>
      <c r="T5" s="21" t="str">
        <f aca="false">IF(ISNUMBER('Set 1'!W5),'Set 1'!W5,"")</f>
        <v/>
      </c>
      <c r="U5" s="22" t="str">
        <f aca="false">IF(ISNUMBER('Set 1'!X5),'Set 1'!X5,"")</f>
        <v/>
      </c>
    </row>
    <row r="6" customFormat="false" ht="15" hidden="false" customHeight="false" outlineLevel="0" collapsed="false">
      <c r="A6" s="17" t="s">
        <v>27</v>
      </c>
      <c r="B6" s="18" t="n">
        <f aca="false">'Set 1'!A6</f>
        <v>5</v>
      </c>
      <c r="C6" s="19" t="n">
        <f aca="false">'Set 1'!C6</f>
        <v>50.95</v>
      </c>
      <c r="D6" s="18" t="n">
        <f aca="false">'Set 1'!D6</f>
        <v>240</v>
      </c>
      <c r="E6" s="19" t="n">
        <f aca="false">'Set 1'!E6</f>
        <v>2.66666666666667</v>
      </c>
      <c r="F6" s="19" t="n">
        <f aca="false">'Set 1'!F6</f>
        <v>0.52</v>
      </c>
      <c r="G6" s="18" t="n">
        <f aca="false">'Set 1'!I6</f>
        <v>1407.499351274</v>
      </c>
      <c r="H6" s="18" t="str">
        <f aca="false">IF(ISNUMBER('Set 1'!J6),'Set 1'!J6,"")</f>
        <v/>
      </c>
      <c r="I6" s="18" t="str">
        <f aca="false">IF(ISNUMBER('Set 1'!K6),'Set 1'!K6,"")</f>
        <v/>
      </c>
      <c r="J6" s="18" t="n">
        <f aca="false">'Set 1'!L6</f>
        <v>1746.37860154084</v>
      </c>
      <c r="K6" s="18" t="str">
        <f aca="false">IF(ISNUMBER('Set 1'!M6),'Set 1'!M6,"")</f>
        <v/>
      </c>
      <c r="L6" s="18" t="str">
        <f aca="false">IF(ISNUMBER('Set 1'!N6),'Set 1'!N6,"")</f>
        <v/>
      </c>
      <c r="M6" s="19" t="n">
        <f aca="false">'Set 1'!O6</f>
        <v>7.63384199999999</v>
      </c>
      <c r="N6" s="19" t="str">
        <f aca="false">IF(ISNUMBER('Set 1'!P6),'Set 1'!P6,"")</f>
        <v/>
      </c>
      <c r="O6" s="19" t="str">
        <f aca="false">IF(ISNUMBER('Set 1'!Q6),'Set 1'!Q6,"")</f>
        <v/>
      </c>
      <c r="P6" s="20" t="n">
        <f aca="false">'Set 1'!R6</f>
        <v>656.430712583907</v>
      </c>
      <c r="Q6" s="19" t="str">
        <f aca="false">IF(ISNUMBER('Set 1'!S6),'Set 1'!S6,"")</f>
        <v/>
      </c>
      <c r="R6" s="20" t="str">
        <f aca="false">IF(ISNUMBER('Set 1'!T6),'Set 1'!T6,"")</f>
        <v/>
      </c>
      <c r="S6" s="21" t="str">
        <f aca="false">IF(ISNUMBER('Set 1'!V6),'Set 1'!V6,"")</f>
        <v/>
      </c>
      <c r="T6" s="21" t="str">
        <f aca="false">IF(ISNUMBER('Set 1'!W6),'Set 1'!W6,"")</f>
        <v/>
      </c>
      <c r="U6" s="22" t="str">
        <f aca="false">IF(ISNUMBER('Set 1'!X6),'Set 1'!X6,"")</f>
        <v/>
      </c>
    </row>
    <row r="7" customFormat="false" ht="15" hidden="false" customHeight="false" outlineLevel="0" collapsed="false">
      <c r="A7" s="17" t="s">
        <v>27</v>
      </c>
      <c r="B7" s="18" t="n">
        <f aca="false">'Set 1'!A7</f>
        <v>6</v>
      </c>
      <c r="C7" s="19" t="n">
        <f aca="false">'Set 1'!C7</f>
        <v>50.95</v>
      </c>
      <c r="D7" s="18" t="n">
        <f aca="false">'Set 1'!D7</f>
        <v>320</v>
      </c>
      <c r="E7" s="19" t="n">
        <f aca="false">'Set 1'!E7</f>
        <v>2</v>
      </c>
      <c r="F7" s="19" t="n">
        <f aca="false">'Set 1'!F7</f>
        <v>0.52</v>
      </c>
      <c r="G7" s="18" t="n">
        <f aca="false">'Set 1'!I7</f>
        <v>1407.29955396803</v>
      </c>
      <c r="H7" s="18" t="str">
        <f aca="false">IF(ISNUMBER('Set 1'!J7),'Set 1'!J7,"")</f>
        <v/>
      </c>
      <c r="I7" s="18" t="str">
        <f aca="false">IF(ISNUMBER('Set 1'!K7),'Set 1'!K7,"")</f>
        <v/>
      </c>
      <c r="J7" s="18" t="n">
        <f aca="false">'Set 1'!L7</f>
        <v>1745.65194202208</v>
      </c>
      <c r="K7" s="18" t="str">
        <f aca="false">IF(ISNUMBER('Set 1'!M7),'Set 1'!M7,"")</f>
        <v/>
      </c>
      <c r="L7" s="18" t="str">
        <f aca="false">IF(ISNUMBER('Set 1'!N7),'Set 1'!N7,"")</f>
        <v/>
      </c>
      <c r="M7" s="19" t="n">
        <f aca="false">'Set 1'!O7</f>
        <v>7.64592499999999</v>
      </c>
      <c r="N7" s="19" t="str">
        <f aca="false">IF(ISNUMBER('Set 1'!P7),'Set 1'!P7,"")</f>
        <v/>
      </c>
      <c r="O7" s="19" t="str">
        <f aca="false">IF(ISNUMBER('Set 1'!Q7),'Set 1'!Q7,"")</f>
        <v/>
      </c>
      <c r="P7" s="20" t="n">
        <f aca="false">'Set 1'!R7</f>
        <v>661.922490247295</v>
      </c>
      <c r="Q7" s="19" t="str">
        <f aca="false">IF(ISNUMBER('Set 1'!S7),'Set 1'!S7,"")</f>
        <v/>
      </c>
      <c r="R7" s="20" t="str">
        <f aca="false">IF(ISNUMBER('Set 1'!T7),'Set 1'!T7,"")</f>
        <v/>
      </c>
      <c r="S7" s="21" t="str">
        <f aca="false">IF(ISNUMBER('Set 1'!V7),'Set 1'!V7,"")</f>
        <v/>
      </c>
      <c r="T7" s="21" t="str">
        <f aca="false">IF(ISNUMBER('Set 1'!W7),'Set 1'!W7,"")</f>
        <v/>
      </c>
      <c r="U7" s="22" t="str">
        <f aca="false">IF(ISNUMBER('Set 1'!X7),'Set 1'!X7,"")</f>
        <v/>
      </c>
    </row>
    <row r="8" customFormat="false" ht="15" hidden="false" customHeight="false" outlineLevel="0" collapsed="false">
      <c r="A8" s="17" t="s">
        <v>27</v>
      </c>
      <c r="B8" s="18" t="n">
        <f aca="false">'Set 1'!A8</f>
        <v>7</v>
      </c>
      <c r="C8" s="19" t="n">
        <f aca="false">'Set 1'!C8</f>
        <v>51</v>
      </c>
      <c r="D8" s="18" t="n">
        <f aca="false">'Set 1'!D8</f>
        <v>240</v>
      </c>
      <c r="E8" s="19" t="n">
        <f aca="false">'Set 1'!E8</f>
        <v>2.66666666666667</v>
      </c>
      <c r="F8" s="19" t="n">
        <f aca="false">'Set 1'!F8</f>
        <v>0.4</v>
      </c>
      <c r="G8" s="18" t="n">
        <f aca="false">'Set 1'!I8</f>
        <v>1409.21728292278</v>
      </c>
      <c r="H8" s="18" t="str">
        <f aca="false">IF(ISNUMBER('Set 1'!J8),'Set 1'!J8,"")</f>
        <v/>
      </c>
      <c r="I8" s="18" t="str">
        <f aca="false">IF(ISNUMBER('Set 1'!K8),'Set 1'!K8,"")</f>
        <v/>
      </c>
      <c r="J8" s="18" t="n">
        <f aca="false">'Set 1'!L8</f>
        <v>1746.53707486242</v>
      </c>
      <c r="K8" s="18" t="str">
        <f aca="false">IF(ISNUMBER('Set 1'!M8),'Set 1'!M8,"")</f>
        <v/>
      </c>
      <c r="L8" s="18" t="str">
        <f aca="false">IF(ISNUMBER('Set 1'!N8),'Set 1'!N8,"")</f>
        <v/>
      </c>
      <c r="M8" s="19" t="n">
        <f aca="false">'Set 1'!O8</f>
        <v>7.64266299999999</v>
      </c>
      <c r="N8" s="19" t="str">
        <f aca="false">IF(ISNUMBER('Set 1'!P8),'Set 1'!P8,"")</f>
        <v/>
      </c>
      <c r="O8" s="19" t="str">
        <f aca="false">IF(ISNUMBER('Set 1'!Q8),'Set 1'!Q8,"")</f>
        <v/>
      </c>
      <c r="P8" s="20" t="n">
        <f aca="false">'Set 1'!R8</f>
        <v>722.735643650416</v>
      </c>
      <c r="Q8" s="19" t="str">
        <f aca="false">IF(ISNUMBER('Set 1'!S8),'Set 1'!S8,"")</f>
        <v/>
      </c>
      <c r="R8" s="20" t="str">
        <f aca="false">IF(ISNUMBER('Set 1'!T8),'Set 1'!T8,"")</f>
        <v/>
      </c>
      <c r="S8" s="21" t="str">
        <f aca="false">IF(ISNUMBER('Set 1'!V8),'Set 1'!V8,"")</f>
        <v/>
      </c>
      <c r="T8" s="21" t="str">
        <f aca="false">IF(ISNUMBER('Set 1'!W8),'Set 1'!W8,"")</f>
        <v/>
      </c>
      <c r="U8" s="22" t="str">
        <f aca="false">IF(ISNUMBER('Set 1'!X8),'Set 1'!X8,"")</f>
        <v/>
      </c>
    </row>
    <row r="9" customFormat="false" ht="15" hidden="false" customHeight="false" outlineLevel="0" collapsed="false">
      <c r="A9" s="17" t="s">
        <v>27</v>
      </c>
      <c r="B9" s="18" t="n">
        <f aca="false">'Set 1'!A9</f>
        <v>8</v>
      </c>
      <c r="C9" s="19" t="n">
        <f aca="false">'Set 1'!C9</f>
        <v>50.95</v>
      </c>
      <c r="D9" s="18" t="n">
        <f aca="false">'Set 1'!D9</f>
        <v>240</v>
      </c>
      <c r="E9" s="19" t="n">
        <f aca="false">'Set 1'!E9</f>
        <v>2.66666666666667</v>
      </c>
      <c r="F9" s="19" t="n">
        <f aca="false">'Set 1'!F9</f>
        <v>0.48</v>
      </c>
      <c r="G9" s="18" t="n">
        <f aca="false">'Set 1'!I9</f>
        <v>1402.53857129639</v>
      </c>
      <c r="H9" s="18" t="str">
        <f aca="false">IF(ISNUMBER('Set 1'!J9),'Set 1'!J9,"")</f>
        <v/>
      </c>
      <c r="I9" s="18" t="str">
        <f aca="false">IF(ISNUMBER('Set 1'!K9),'Set 1'!K9,"")</f>
        <v/>
      </c>
      <c r="J9" s="18" t="n">
        <f aca="false">'Set 1'!L9</f>
        <v>1746.17439480164</v>
      </c>
      <c r="K9" s="18" t="str">
        <f aca="false">IF(ISNUMBER('Set 1'!M9),'Set 1'!M9,"")</f>
        <v/>
      </c>
      <c r="L9" s="18" t="str">
        <f aca="false">IF(ISNUMBER('Set 1'!N9),'Set 1'!N9,"")</f>
        <v/>
      </c>
      <c r="M9" s="19" t="n">
        <f aca="false">'Set 1'!O9</f>
        <v>7.64895899999999</v>
      </c>
      <c r="N9" s="19" t="str">
        <f aca="false">IF(ISNUMBER('Set 1'!P9),'Set 1'!P9,"")</f>
        <v/>
      </c>
      <c r="O9" s="19" t="str">
        <f aca="false">IF(ISNUMBER('Set 1'!Q9),'Set 1'!Q9,"")</f>
        <v/>
      </c>
      <c r="P9" s="20" t="n">
        <f aca="false">'Set 1'!R9</f>
        <v>731.734711525745</v>
      </c>
      <c r="Q9" s="19" t="str">
        <f aca="false">IF(ISNUMBER('Set 1'!S9),'Set 1'!S9,"")</f>
        <v/>
      </c>
      <c r="R9" s="20" t="str">
        <f aca="false">IF(ISNUMBER('Set 1'!T9),'Set 1'!T9,"")</f>
        <v/>
      </c>
      <c r="S9" s="21" t="str">
        <f aca="false">IF(ISNUMBER('Set 1'!V9),'Set 1'!V9,"")</f>
        <v/>
      </c>
      <c r="T9" s="21" t="str">
        <f aca="false">IF(ISNUMBER('Set 1'!W9),'Set 1'!W9,"")</f>
        <v/>
      </c>
      <c r="U9" s="22" t="str">
        <f aca="false">IF(ISNUMBER('Set 1'!X9),'Set 1'!X9,"")</f>
        <v/>
      </c>
    </row>
    <row r="10" customFormat="false" ht="15" hidden="false" customHeight="false" outlineLevel="0" collapsed="false">
      <c r="A10" s="17" t="s">
        <v>27</v>
      </c>
      <c r="B10" s="18" t="n">
        <f aca="false">'Set 1'!A10</f>
        <v>9</v>
      </c>
      <c r="C10" s="19" t="n">
        <f aca="false">'Set 1'!C10</f>
        <v>51</v>
      </c>
      <c r="D10" s="18" t="n">
        <f aca="false">'Set 1'!D10</f>
        <v>160</v>
      </c>
      <c r="E10" s="19" t="n">
        <f aca="false">'Set 1'!E10</f>
        <v>4</v>
      </c>
      <c r="F10" s="19" t="n">
        <f aca="false">'Set 1'!F10</f>
        <v>0.48</v>
      </c>
      <c r="G10" s="18" t="n">
        <f aca="false">'Set 1'!I10</f>
        <v>1403.69923690996</v>
      </c>
      <c r="H10" s="18" t="str">
        <f aca="false">IF(ISNUMBER('Set 1'!J10),'Set 1'!J10,"")</f>
        <v/>
      </c>
      <c r="I10" s="18" t="str">
        <f aca="false">IF(ISNUMBER('Set 1'!K10),'Set 1'!K10,"")</f>
        <v/>
      </c>
      <c r="J10" s="18" t="n">
        <f aca="false">'Set 1'!L10</f>
        <v>1749.6312767733</v>
      </c>
      <c r="K10" s="18" t="str">
        <f aca="false">IF(ISNUMBER('Set 1'!M10),'Set 1'!M10,"")</f>
        <v/>
      </c>
      <c r="L10" s="18" t="str">
        <f aca="false">IF(ISNUMBER('Set 1'!N10),'Set 1'!N10,"")</f>
        <v/>
      </c>
      <c r="M10" s="19" t="n">
        <f aca="false">'Set 1'!O10</f>
        <v>7.64311299999999</v>
      </c>
      <c r="N10" s="19" t="str">
        <f aca="false">IF(ISNUMBER('Set 1'!P10),'Set 1'!P10,"")</f>
        <v/>
      </c>
      <c r="O10" s="19" t="str">
        <f aca="false">IF(ISNUMBER('Set 1'!Q10),'Set 1'!Q10,"")</f>
        <v/>
      </c>
      <c r="P10" s="20" t="n">
        <f aca="false">'Set 1'!R10</f>
        <v>741.859239328738</v>
      </c>
      <c r="Q10" s="19" t="str">
        <f aca="false">IF(ISNUMBER('Set 1'!S10),'Set 1'!S10,"")</f>
        <v/>
      </c>
      <c r="R10" s="20" t="str">
        <f aca="false">IF(ISNUMBER('Set 1'!T10),'Set 1'!T10,"")</f>
        <v/>
      </c>
      <c r="S10" s="21" t="str">
        <f aca="false">IF(ISNUMBER('Set 1'!V10),'Set 1'!V10,"")</f>
        <v/>
      </c>
      <c r="T10" s="21" t="str">
        <f aca="false">IF(ISNUMBER('Set 1'!W10),'Set 1'!W10,"")</f>
        <v/>
      </c>
      <c r="U10" s="22" t="str">
        <f aca="false">IF(ISNUMBER('Set 1'!X10),'Set 1'!X10,"")</f>
        <v/>
      </c>
    </row>
    <row r="11" customFormat="false" ht="15" hidden="false" customHeight="false" outlineLevel="0" collapsed="false">
      <c r="A11" s="17" t="s">
        <v>27</v>
      </c>
      <c r="B11" s="18" t="n">
        <f aca="false">'Set 1'!A11</f>
        <v>10</v>
      </c>
      <c r="C11" s="19" t="n">
        <f aca="false">'Set 1'!C11</f>
        <v>51</v>
      </c>
      <c r="D11" s="18" t="n">
        <f aca="false">'Set 1'!D11</f>
        <v>160</v>
      </c>
      <c r="E11" s="19" t="n">
        <f aca="false">'Set 1'!E11</f>
        <v>4</v>
      </c>
      <c r="F11" s="19" t="n">
        <f aca="false">'Set 1'!F11</f>
        <v>0.44</v>
      </c>
      <c r="G11" s="18" t="n">
        <f aca="false">'Set 1'!I11</f>
        <v>1404.60593589585</v>
      </c>
      <c r="H11" s="18" t="str">
        <f aca="false">IF(ISNUMBER('Set 1'!J11),'Set 1'!J11,"")</f>
        <v/>
      </c>
      <c r="I11" s="18" t="str">
        <f aca="false">IF(ISNUMBER('Set 1'!K11),'Set 1'!K11,"")</f>
        <v/>
      </c>
      <c r="J11" s="18" t="n">
        <f aca="false">'Set 1'!L11</f>
        <v>1749.65293005789</v>
      </c>
      <c r="K11" s="18" t="str">
        <f aca="false">IF(ISNUMBER('Set 1'!M11),'Set 1'!M11,"")</f>
        <v/>
      </c>
      <c r="L11" s="18" t="str">
        <f aca="false">IF(ISNUMBER('Set 1'!N11),'Set 1'!N11,"")</f>
        <v/>
      </c>
      <c r="M11" s="19" t="n">
        <f aca="false">'Set 1'!O11</f>
        <v>7.64497699999999</v>
      </c>
      <c r="N11" s="19" t="str">
        <f aca="false">IF(ISNUMBER('Set 1'!P11),'Set 1'!P11,"")</f>
        <v/>
      </c>
      <c r="O11" s="19" t="str">
        <f aca="false">IF(ISNUMBER('Set 1'!Q11),'Set 1'!Q11,"")</f>
        <v/>
      </c>
      <c r="P11" s="20" t="n">
        <f aca="false">'Set 1'!R11</f>
        <v>749.678589646605</v>
      </c>
      <c r="Q11" s="19" t="str">
        <f aca="false">IF(ISNUMBER('Set 1'!S11),'Set 1'!S11,"")</f>
        <v/>
      </c>
      <c r="R11" s="20" t="str">
        <f aca="false">IF(ISNUMBER('Set 1'!T11),'Set 1'!T11,"")</f>
        <v/>
      </c>
      <c r="S11" s="21" t="str">
        <f aca="false">IF(ISNUMBER('Set 1'!V11),'Set 1'!V11,"")</f>
        <v/>
      </c>
      <c r="T11" s="21" t="str">
        <f aca="false">IF(ISNUMBER('Set 1'!W11),'Set 1'!W11,"")</f>
        <v/>
      </c>
      <c r="U11" s="22" t="str">
        <f aca="false">IF(ISNUMBER('Set 1'!X11),'Set 1'!X11,"")</f>
        <v/>
      </c>
    </row>
    <row r="12" customFormat="false" ht="15" hidden="false" customHeight="false" outlineLevel="0" collapsed="false">
      <c r="A12" s="17" t="s">
        <v>28</v>
      </c>
      <c r="B12" s="18" t="n">
        <f aca="false">'Set 2'!A2</f>
        <v>1</v>
      </c>
      <c r="C12" s="19" t="n">
        <f aca="false">'Set 2'!C2</f>
        <v>50.55</v>
      </c>
      <c r="D12" s="18" t="n">
        <f aca="false">'Set 2'!D2</f>
        <v>80</v>
      </c>
      <c r="E12" s="19" t="n">
        <f aca="false">'Set 2'!E2</f>
        <v>8</v>
      </c>
      <c r="F12" s="19" t="n">
        <f aca="false">'Set 2'!F2</f>
        <v>0.88</v>
      </c>
      <c r="G12" s="18" t="n">
        <f aca="false">'Set 2'!I2</f>
        <v>252.941476967729</v>
      </c>
      <c r="H12" s="18" t="str">
        <f aca="false">IF(ISNUMBER('Set 2'!J2),'Set 2'!J2,"")</f>
        <v/>
      </c>
      <c r="I12" s="18" t="str">
        <f aca="false">IF(ISNUMBER('Set 2'!K2),'Set 2'!K2,"")</f>
        <v/>
      </c>
      <c r="J12" s="18" t="n">
        <f aca="false">'Set 2'!L2</f>
        <v>1272.77675106126</v>
      </c>
      <c r="K12" s="18" t="str">
        <f aca="false">IF(ISNUMBER('Set 2'!M2),'Set 2'!M2,"")</f>
        <v/>
      </c>
      <c r="L12" s="18" t="str">
        <f aca="false">IF(ISNUMBER('Set 2'!N2),'Set 2'!N2,"")</f>
        <v/>
      </c>
      <c r="M12" s="19" t="n">
        <f aca="false">'Set 2'!O2</f>
        <v>7.51738999999999</v>
      </c>
      <c r="N12" s="19" t="str">
        <f aca="false">IF(ISNUMBER('Set 2'!P2),'Set 2'!P2,"")</f>
        <v/>
      </c>
      <c r="O12" s="19" t="str">
        <f aca="false">IF(ISNUMBER('Set 2'!Q2),'Set 2'!Q2,"")</f>
        <v/>
      </c>
      <c r="P12" s="20" t="n">
        <f aca="false">'Set 2'!R2</f>
        <v>194.037396072618</v>
      </c>
      <c r="Q12" s="19" t="str">
        <f aca="false">IF(ISNUMBER('Set 2'!S2),'Set 2'!S2,"")</f>
        <v/>
      </c>
      <c r="R12" s="20" t="str">
        <f aca="false">IF(ISNUMBER('Set 2'!T2),'Set 2'!T2,"")</f>
        <v/>
      </c>
      <c r="S12" s="21" t="str">
        <f aca="false">IF(ISNUMBER('Set 2'!V2),'Set 2'!V2,"")</f>
        <v/>
      </c>
      <c r="T12" s="21" t="str">
        <f aca="false">IF(ISNUMBER('Set 2'!W2),'Set 2'!W2,"")</f>
        <v/>
      </c>
      <c r="U12" s="22" t="str">
        <f aca="false">IF(ISNUMBER('Set 2'!X2),'Set 2'!X2,"")</f>
        <v/>
      </c>
    </row>
    <row r="13" customFormat="false" ht="15" hidden="false" customHeight="false" outlineLevel="0" collapsed="false">
      <c r="A13" s="17" t="s">
        <v>28</v>
      </c>
      <c r="B13" s="18" t="n">
        <f aca="false">'Set 2'!A3</f>
        <v>2</v>
      </c>
      <c r="C13" s="19" t="n">
        <f aca="false">'Set 2'!C3</f>
        <v>50.55</v>
      </c>
      <c r="D13" s="18" t="n">
        <f aca="false">'Set 2'!D3</f>
        <v>320</v>
      </c>
      <c r="E13" s="19" t="n">
        <f aca="false">'Set 2'!E3</f>
        <v>2</v>
      </c>
      <c r="F13" s="19" t="n">
        <f aca="false">'Set 2'!F3</f>
        <v>0.92</v>
      </c>
      <c r="G13" s="18" t="n">
        <f aca="false">'Set 2'!I3</f>
        <v>252.932975417789</v>
      </c>
      <c r="H13" s="18" t="str">
        <f aca="false">IF(ISNUMBER('Set 2'!J3),'Set 2'!J3,"")</f>
        <v/>
      </c>
      <c r="I13" s="18" t="str">
        <f aca="false">IF(ISNUMBER('Set 2'!K3),'Set 2'!K3,"")</f>
        <v/>
      </c>
      <c r="J13" s="18" t="n">
        <f aca="false">'Set 2'!L3</f>
        <v>1271.95778259744</v>
      </c>
      <c r="K13" s="18" t="str">
        <f aca="false">IF(ISNUMBER('Set 2'!M3),'Set 2'!M3,"")</f>
        <v/>
      </c>
      <c r="L13" s="18" t="str">
        <f aca="false">IF(ISNUMBER('Set 2'!N3),'Set 2'!N3,"")</f>
        <v/>
      </c>
      <c r="M13" s="19" t="n">
        <f aca="false">'Set 2'!O3</f>
        <v>7.51647999999999</v>
      </c>
      <c r="N13" s="19" t="str">
        <f aca="false">IF(ISNUMBER('Set 2'!P3),'Set 2'!P3,"")</f>
        <v/>
      </c>
      <c r="O13" s="19" t="str">
        <f aca="false">IF(ISNUMBER('Set 2'!Q3),'Set 2'!Q3,"")</f>
        <v/>
      </c>
      <c r="P13" s="20" t="n">
        <f aca="false">'Set 2'!R3</f>
        <v>194.398322200401</v>
      </c>
      <c r="Q13" s="19" t="str">
        <f aca="false">IF(ISNUMBER('Set 2'!S3),'Set 2'!S3,"")</f>
        <v/>
      </c>
      <c r="R13" s="20" t="str">
        <f aca="false">IF(ISNUMBER('Set 2'!T3),'Set 2'!T3,"")</f>
        <v/>
      </c>
      <c r="S13" s="21" t="str">
        <f aca="false">IF(ISNUMBER('Set 2'!V3),'Set 2'!V3,"")</f>
        <v/>
      </c>
      <c r="T13" s="21" t="str">
        <f aca="false">IF(ISNUMBER('Set 2'!W3),'Set 2'!W3,"")</f>
        <v/>
      </c>
      <c r="U13" s="22" t="str">
        <f aca="false">IF(ISNUMBER('Set 2'!X3),'Set 2'!X3,"")</f>
        <v/>
      </c>
    </row>
    <row r="14" customFormat="false" ht="15" hidden="false" customHeight="false" outlineLevel="0" collapsed="false">
      <c r="A14" s="17" t="s">
        <v>28</v>
      </c>
      <c r="B14" s="18" t="n">
        <f aca="false">'Set 2'!A4</f>
        <v>3</v>
      </c>
      <c r="C14" s="19" t="n">
        <f aca="false">'Set 2'!C4</f>
        <v>50.55</v>
      </c>
      <c r="D14" s="18" t="n">
        <f aca="false">'Set 2'!D4</f>
        <v>240</v>
      </c>
      <c r="E14" s="19" t="n">
        <f aca="false">'Set 2'!E4</f>
        <v>2.66666666666667</v>
      </c>
      <c r="F14" s="19" t="n">
        <f aca="false">'Set 2'!F4</f>
        <v>0.8</v>
      </c>
      <c r="G14" s="18" t="n">
        <f aca="false">'Set 2'!I4</f>
        <v>252.941476967729</v>
      </c>
      <c r="H14" s="18" t="str">
        <f aca="false">IF(ISNUMBER('Set 2'!J4),'Set 2'!J4,"")</f>
        <v/>
      </c>
      <c r="I14" s="18" t="str">
        <f aca="false">IF(ISNUMBER('Set 2'!K4),'Set 2'!K4,"")</f>
        <v/>
      </c>
      <c r="J14" s="18" t="n">
        <f aca="false">'Set 2'!L4</f>
        <v>1274.36021618533</v>
      </c>
      <c r="K14" s="18" t="str">
        <f aca="false">IF(ISNUMBER('Set 2'!M4),'Set 2'!M4,"")</f>
        <v/>
      </c>
      <c r="L14" s="18" t="str">
        <f aca="false">IF(ISNUMBER('Set 2'!N4),'Set 2'!N4,"")</f>
        <v/>
      </c>
      <c r="M14" s="19" t="n">
        <f aca="false">'Set 2'!O4</f>
        <v>7.51820299999999</v>
      </c>
      <c r="N14" s="19" t="str">
        <f aca="false">IF(ISNUMBER('Set 2'!P4),'Set 2'!P4,"")</f>
        <v/>
      </c>
      <c r="O14" s="19" t="str">
        <f aca="false">IF(ISNUMBER('Set 2'!Q4),'Set 2'!Q4,"")</f>
        <v/>
      </c>
      <c r="P14" s="20" t="n">
        <f aca="false">'Set 2'!R4</f>
        <v>195.04844034153</v>
      </c>
      <c r="Q14" s="19" t="str">
        <f aca="false">IF(ISNUMBER('Set 2'!S4),'Set 2'!S4,"")</f>
        <v/>
      </c>
      <c r="R14" s="20" t="str">
        <f aca="false">IF(ISNUMBER('Set 2'!T4),'Set 2'!T4,"")</f>
        <v/>
      </c>
      <c r="S14" s="21" t="str">
        <f aca="false">IF(ISNUMBER('Set 2'!V4),'Set 2'!V4,"")</f>
        <v/>
      </c>
      <c r="T14" s="21" t="str">
        <f aca="false">IF(ISNUMBER('Set 2'!W4),'Set 2'!W4,"")</f>
        <v/>
      </c>
      <c r="U14" s="22" t="str">
        <f aca="false">IF(ISNUMBER('Set 2'!X4),'Set 2'!X4,"")</f>
        <v/>
      </c>
    </row>
    <row r="15" customFormat="false" ht="15" hidden="false" customHeight="false" outlineLevel="0" collapsed="false">
      <c r="A15" s="17" t="s">
        <v>28</v>
      </c>
      <c r="B15" s="18" t="n">
        <f aca="false">'Set 2'!A5</f>
        <v>4</v>
      </c>
      <c r="C15" s="19" t="n">
        <f aca="false">'Set 2'!C5</f>
        <v>50.55</v>
      </c>
      <c r="D15" s="18" t="n">
        <f aca="false">'Set 2'!D5</f>
        <v>640</v>
      </c>
      <c r="E15" s="19" t="n">
        <f aca="false">'Set 2'!E5</f>
        <v>1</v>
      </c>
      <c r="F15" s="19" t="n">
        <f aca="false">'Set 2'!F5</f>
        <v>1</v>
      </c>
      <c r="G15" s="18" t="n">
        <f aca="false">'Set 2'!I5</f>
        <v>244.381588889695</v>
      </c>
      <c r="H15" s="18" t="str">
        <f aca="false">IF(ISNUMBER('Set 2'!J5),'Set 2'!J5,"")</f>
        <v/>
      </c>
      <c r="I15" s="18" t="str">
        <f aca="false">IF(ISNUMBER('Set 2'!K5),'Set 2'!K5,"")</f>
        <v/>
      </c>
      <c r="J15" s="18" t="n">
        <f aca="false">'Set 2'!L5</f>
        <v>1240.57518622454</v>
      </c>
      <c r="K15" s="18" t="str">
        <f aca="false">IF(ISNUMBER('Set 2'!M5),'Set 2'!M5,"")</f>
        <v/>
      </c>
      <c r="L15" s="18" t="str">
        <f aca="false">IF(ISNUMBER('Set 2'!N5),'Set 2'!N5,"")</f>
        <v/>
      </c>
      <c r="M15" s="19" t="n">
        <f aca="false">'Set 2'!O5</f>
        <v>7.54008299999999</v>
      </c>
      <c r="N15" s="19" t="str">
        <f aca="false">IF(ISNUMBER('Set 2'!P5),'Set 2'!P5,"")</f>
        <v/>
      </c>
      <c r="O15" s="19" t="str">
        <f aca="false">IF(ISNUMBER('Set 2'!Q5),'Set 2'!Q5,"")</f>
        <v/>
      </c>
      <c r="P15" s="20" t="n">
        <f aca="false">'Set 2'!R5</f>
        <v>265.165023707051</v>
      </c>
      <c r="Q15" s="19" t="str">
        <f aca="false">IF(ISNUMBER('Set 2'!S5),'Set 2'!S5,"")</f>
        <v/>
      </c>
      <c r="R15" s="20" t="str">
        <f aca="false">IF(ISNUMBER('Set 2'!T5),'Set 2'!T5,"")</f>
        <v/>
      </c>
      <c r="S15" s="21" t="str">
        <f aca="false">IF(ISNUMBER('Set 2'!V5),'Set 2'!V5,"")</f>
        <v/>
      </c>
      <c r="T15" s="21" t="str">
        <f aca="false">IF(ISNUMBER('Set 2'!W5),'Set 2'!W5,"")</f>
        <v/>
      </c>
      <c r="U15" s="22" t="str">
        <f aca="false">IF(ISNUMBER('Set 2'!X5),'Set 2'!X5,"")</f>
        <v/>
      </c>
    </row>
    <row r="16" customFormat="false" ht="15" hidden="false" customHeight="false" outlineLevel="0" collapsed="false">
      <c r="A16" s="17" t="s">
        <v>28</v>
      </c>
      <c r="B16" s="18" t="n">
        <f aca="false">'Set 2'!A6</f>
        <v>5</v>
      </c>
      <c r="C16" s="19" t="n">
        <f aca="false">'Set 2'!C6</f>
        <v>50.55</v>
      </c>
      <c r="D16" s="18" t="n">
        <f aca="false">'Set 2'!D6</f>
        <v>480</v>
      </c>
      <c r="E16" s="19" t="n">
        <f aca="false">'Set 2'!E6</f>
        <v>1.33333333333333</v>
      </c>
      <c r="F16" s="19" t="n">
        <f aca="false">'Set 2'!F6</f>
        <v>0.92</v>
      </c>
      <c r="G16" s="18" t="n">
        <f aca="false">'Set 2'!I6</f>
        <v>244.510942148903</v>
      </c>
      <c r="H16" s="18" t="str">
        <f aca="false">IF(ISNUMBER('Set 2'!J6),'Set 2'!J6,"")</f>
        <v/>
      </c>
      <c r="I16" s="18" t="str">
        <f aca="false">IF(ISNUMBER('Set 2'!K6),'Set 2'!K6,"")</f>
        <v/>
      </c>
      <c r="J16" s="18" t="n">
        <f aca="false">'Set 2'!L6</f>
        <v>1241.43819349573</v>
      </c>
      <c r="K16" s="18" t="str">
        <f aca="false">IF(ISNUMBER('Set 2'!M6),'Set 2'!M6,"")</f>
        <v/>
      </c>
      <c r="L16" s="18" t="str">
        <f aca="false">IF(ISNUMBER('Set 2'!N6),'Set 2'!N6,"")</f>
        <v/>
      </c>
      <c r="M16" s="19" t="n">
        <f aca="false">'Set 2'!O6</f>
        <v>7.54310199999999</v>
      </c>
      <c r="N16" s="19" t="str">
        <f aca="false">IF(ISNUMBER('Set 2'!P6),'Set 2'!P6,"")</f>
        <v/>
      </c>
      <c r="O16" s="19" t="str">
        <f aca="false">IF(ISNUMBER('Set 2'!Q6),'Set 2'!Q6,"")</f>
        <v/>
      </c>
      <c r="P16" s="20" t="n">
        <f aca="false">'Set 2'!R6</f>
        <v>265.45253270235</v>
      </c>
      <c r="Q16" s="19" t="str">
        <f aca="false">IF(ISNUMBER('Set 2'!S6),'Set 2'!S6,"")</f>
        <v/>
      </c>
      <c r="R16" s="20" t="str">
        <f aca="false">IF(ISNUMBER('Set 2'!T6),'Set 2'!T6,"")</f>
        <v/>
      </c>
      <c r="S16" s="21" t="str">
        <f aca="false">IF(ISNUMBER('Set 2'!V6),'Set 2'!V6,"")</f>
        <v/>
      </c>
      <c r="T16" s="21" t="str">
        <f aca="false">IF(ISNUMBER('Set 2'!W6),'Set 2'!W6,"")</f>
        <v/>
      </c>
      <c r="U16" s="22" t="str">
        <f aca="false">IF(ISNUMBER('Set 2'!X6),'Set 2'!X6,"")</f>
        <v/>
      </c>
    </row>
    <row r="17" customFormat="false" ht="15" hidden="false" customHeight="false" outlineLevel="0" collapsed="false">
      <c r="A17" s="17" t="s">
        <v>28</v>
      </c>
      <c r="B17" s="18" t="n">
        <f aca="false">'Set 2'!A7</f>
        <v>6</v>
      </c>
      <c r="C17" s="19" t="n">
        <f aca="false">'Set 2'!C7</f>
        <v>50.55</v>
      </c>
      <c r="D17" s="18" t="n">
        <f aca="false">'Set 2'!D7</f>
        <v>640</v>
      </c>
      <c r="E17" s="19" t="n">
        <f aca="false">'Set 2'!E7</f>
        <v>1</v>
      </c>
      <c r="F17" s="19" t="n">
        <f aca="false">'Set 2'!F7</f>
        <v>0.8</v>
      </c>
      <c r="G17" s="18" t="n">
        <f aca="false">'Set 2'!I7</f>
        <v>244.518491839956</v>
      </c>
      <c r="H17" s="18" t="str">
        <f aca="false">IF(ISNUMBER('Set 2'!J7),'Set 2'!J7,"")</f>
        <v/>
      </c>
      <c r="I17" s="18" t="str">
        <f aca="false">IF(ISNUMBER('Set 2'!K7),'Set 2'!K7,"")</f>
        <v/>
      </c>
      <c r="J17" s="18" t="n">
        <f aca="false">'Set 2'!L7</f>
        <v>1244.01182011071</v>
      </c>
      <c r="K17" s="18" t="str">
        <f aca="false">IF(ISNUMBER('Set 2'!M7),'Set 2'!M7,"")</f>
        <v/>
      </c>
      <c r="L17" s="18" t="str">
        <f aca="false">IF(ISNUMBER('Set 2'!N7),'Set 2'!N7,"")</f>
        <v/>
      </c>
      <c r="M17" s="19" t="n">
        <f aca="false">'Set 2'!O7</f>
        <v>7.54482499999999</v>
      </c>
      <c r="N17" s="19" t="str">
        <f aca="false">IF(ISNUMBER('Set 2'!P7),'Set 2'!P7,"")</f>
        <v/>
      </c>
      <c r="O17" s="19" t="str">
        <f aca="false">IF(ISNUMBER('Set 2'!Q7),'Set 2'!Q7,"")</f>
        <v/>
      </c>
      <c r="P17" s="20" t="n">
        <f aca="false">'Set 2'!R7</f>
        <v>266.130053765627</v>
      </c>
      <c r="Q17" s="19" t="str">
        <f aca="false">IF(ISNUMBER('Set 2'!S7),'Set 2'!S7,"")</f>
        <v/>
      </c>
      <c r="R17" s="20" t="str">
        <f aca="false">IF(ISNUMBER('Set 2'!T7),'Set 2'!T7,"")</f>
        <v/>
      </c>
      <c r="S17" s="21" t="str">
        <f aca="false">IF(ISNUMBER('Set 2'!V7),'Set 2'!V7,"")</f>
        <v/>
      </c>
      <c r="T17" s="21" t="str">
        <f aca="false">IF(ISNUMBER('Set 2'!W7),'Set 2'!W7,"")</f>
        <v/>
      </c>
      <c r="U17" s="22" t="str">
        <f aca="false">IF(ISNUMBER('Set 2'!X7),'Set 2'!X7,"")</f>
        <v/>
      </c>
    </row>
    <row r="18" customFormat="false" ht="15" hidden="false" customHeight="false" outlineLevel="0" collapsed="false">
      <c r="A18" s="17" t="s">
        <v>28</v>
      </c>
      <c r="B18" s="18" t="n">
        <f aca="false">'Set 2'!A8</f>
        <v>7</v>
      </c>
      <c r="C18" s="19" t="n">
        <f aca="false">'Set 2'!C8</f>
        <v>50.55</v>
      </c>
      <c r="D18" s="18" t="n">
        <f aca="false">'Set 2'!D8</f>
        <v>1280</v>
      </c>
      <c r="E18" s="19" t="n">
        <f aca="false">'Set 2'!E8</f>
        <v>0.5</v>
      </c>
      <c r="F18" s="19" t="n">
        <f aca="false">'Set 2'!F8</f>
        <v>0.68</v>
      </c>
      <c r="G18" s="18" t="n">
        <f aca="false">'Set 2'!I8</f>
        <v>312.794696376031</v>
      </c>
      <c r="H18" s="18" t="str">
        <f aca="false">IF(ISNUMBER('Set 2'!J8),'Set 2'!J8,"")</f>
        <v/>
      </c>
      <c r="I18" s="18" t="str">
        <f aca="false">IF(ISNUMBER('Set 2'!K8),'Set 2'!K8,"")</f>
        <v/>
      </c>
      <c r="J18" s="18" t="n">
        <f aca="false">'Set 2'!L8</f>
        <v>1161.08798987177</v>
      </c>
      <c r="K18" s="18" t="str">
        <f aca="false">IF(ISNUMBER('Set 2'!M8),'Set 2'!M8,"")</f>
        <v/>
      </c>
      <c r="L18" s="18" t="str">
        <f aca="false">IF(ISNUMBER('Set 2'!N8),'Set 2'!N8,"")</f>
        <v/>
      </c>
      <c r="M18" s="19" t="n">
        <f aca="false">'Set 2'!O8</f>
        <v>7.66023</v>
      </c>
      <c r="N18" s="19" t="str">
        <f aca="false">IF(ISNUMBER('Set 2'!P8),'Set 2'!P8,"")</f>
        <v/>
      </c>
      <c r="O18" s="19" t="str">
        <f aca="false">IF(ISNUMBER('Set 2'!Q8),'Set 2'!Q8,"")</f>
        <v/>
      </c>
      <c r="P18" s="20" t="n">
        <f aca="false">'Set 2'!R8</f>
        <v>612.727627704531</v>
      </c>
      <c r="Q18" s="19" t="str">
        <f aca="false">IF(ISNUMBER('Set 2'!S8),'Set 2'!S8,"")</f>
        <v/>
      </c>
      <c r="R18" s="20" t="str">
        <f aca="false">IF(ISNUMBER('Set 2'!T8),'Set 2'!T8,"")</f>
        <v/>
      </c>
      <c r="S18" s="21" t="str">
        <f aca="false">IF(ISNUMBER('Set 2'!V8),'Set 2'!V8,"")</f>
        <v/>
      </c>
      <c r="T18" s="21" t="str">
        <f aca="false">IF(ISNUMBER('Set 2'!W8),'Set 2'!W8,"")</f>
        <v/>
      </c>
      <c r="U18" s="22" t="str">
        <f aca="false">IF(ISNUMBER('Set 2'!X8),'Set 2'!X8,"")</f>
        <v/>
      </c>
    </row>
    <row r="19" customFormat="false" ht="15" hidden="false" customHeight="false" outlineLevel="0" collapsed="false">
      <c r="A19" s="17" t="s">
        <v>28</v>
      </c>
      <c r="B19" s="18" t="n">
        <f aca="false">'Set 2'!A9</f>
        <v>8</v>
      </c>
      <c r="C19" s="19" t="n">
        <f aca="false">'Set 2'!C9</f>
        <v>50.55</v>
      </c>
      <c r="D19" s="18" t="n">
        <f aca="false">'Set 2'!D9</f>
        <v>1040</v>
      </c>
      <c r="E19" s="19" t="n">
        <f aca="false">'Set 2'!E9</f>
        <v>0.615384615384615</v>
      </c>
      <c r="F19" s="19" t="n">
        <f aca="false">'Set 2'!F9</f>
        <v>0.56</v>
      </c>
      <c r="G19" s="18" t="n">
        <f aca="false">'Set 2'!I9</f>
        <v>312.794696376031</v>
      </c>
      <c r="H19" s="18" t="str">
        <f aca="false">IF(ISNUMBER('Set 2'!J9),'Set 2'!J9,"")</f>
        <v/>
      </c>
      <c r="I19" s="18" t="str">
        <f aca="false">IF(ISNUMBER('Set 2'!K9),'Set 2'!K9,"")</f>
        <v/>
      </c>
      <c r="J19" s="18" t="n">
        <f aca="false">'Set 2'!L9</f>
        <v>1161.74939305885</v>
      </c>
      <c r="K19" s="18" t="str">
        <f aca="false">IF(ISNUMBER('Set 2'!M9),'Set 2'!M9,"")</f>
        <v/>
      </c>
      <c r="L19" s="18" t="str">
        <f aca="false">IF(ISNUMBER('Set 2'!N9),'Set 2'!N9,"")</f>
        <v/>
      </c>
      <c r="M19" s="19" t="n">
        <f aca="false">'Set 2'!O9</f>
        <v>7.660533</v>
      </c>
      <c r="N19" s="19" t="str">
        <f aca="false">IF(ISNUMBER('Set 2'!P9),'Set 2'!P9,"")</f>
        <v/>
      </c>
      <c r="O19" s="19" t="str">
        <f aca="false">IF(ISNUMBER('Set 2'!Q9),'Set 2'!Q9,"")</f>
        <v/>
      </c>
      <c r="P19" s="20" t="n">
        <f aca="false">'Set 2'!R9</f>
        <v>613.002453735894</v>
      </c>
      <c r="Q19" s="19" t="str">
        <f aca="false">IF(ISNUMBER('Set 2'!S9),'Set 2'!S9,"")</f>
        <v/>
      </c>
      <c r="R19" s="20" t="str">
        <f aca="false">IF(ISNUMBER('Set 2'!T9),'Set 2'!T9,"")</f>
        <v/>
      </c>
      <c r="S19" s="21" t="str">
        <f aca="false">IF(ISNUMBER('Set 2'!V9),'Set 2'!V9,"")</f>
        <v/>
      </c>
      <c r="T19" s="21" t="str">
        <f aca="false">IF(ISNUMBER('Set 2'!W9),'Set 2'!W9,"")</f>
        <v/>
      </c>
      <c r="U19" s="22" t="str">
        <f aca="false">IF(ISNUMBER('Set 2'!X9),'Set 2'!X9,"")</f>
        <v/>
      </c>
    </row>
    <row r="20" customFormat="false" ht="15" hidden="false" customHeight="false" outlineLevel="0" collapsed="false">
      <c r="A20" s="17" t="s">
        <v>28</v>
      </c>
      <c r="B20" s="18" t="n">
        <f aca="false">'Set 2'!A10</f>
        <v>9</v>
      </c>
      <c r="C20" s="19" t="n">
        <f aca="false">'Set 2'!C10</f>
        <v>50.55</v>
      </c>
      <c r="D20" s="18" t="n">
        <f aca="false">'Set 2'!D10</f>
        <v>720</v>
      </c>
      <c r="E20" s="19" t="n">
        <f aca="false">'Set 2'!E10</f>
        <v>0.888888888888889</v>
      </c>
      <c r="F20" s="19" t="n">
        <f aca="false">'Set 2'!F10</f>
        <v>0.6</v>
      </c>
      <c r="G20" s="18" t="n">
        <f aca="false">'Set 2'!I10</f>
        <v>365.193909930287</v>
      </c>
      <c r="H20" s="18" t="str">
        <f aca="false">IF(ISNUMBER('Set 2'!J10),'Set 2'!J10,"")</f>
        <v/>
      </c>
      <c r="I20" s="18" t="str">
        <f aca="false">IF(ISNUMBER('Set 2'!K10),'Set 2'!K10,"")</f>
        <v/>
      </c>
      <c r="J20" s="18" t="n">
        <f aca="false">'Set 2'!L10</f>
        <v>1153.32150850965</v>
      </c>
      <c r="K20" s="18" t="str">
        <f aca="false">IF(ISNUMBER('Set 2'!M10),'Set 2'!M10,"")</f>
        <v/>
      </c>
      <c r="L20" s="18" t="str">
        <f aca="false">IF(ISNUMBER('Set 2'!N10),'Set 2'!N10,"")</f>
        <v/>
      </c>
      <c r="M20" s="19" t="n">
        <f aca="false">'Set 2'!O10</f>
        <v>7.677769</v>
      </c>
      <c r="N20" s="19" t="str">
        <f aca="false">IF(ISNUMBER('Set 2'!P10),'Set 2'!P10,"")</f>
        <v/>
      </c>
      <c r="O20" s="19" t="str">
        <f aca="false">IF(ISNUMBER('Set 2'!Q10),'Set 2'!Q10,"")</f>
        <v/>
      </c>
      <c r="P20" s="20" t="n">
        <f aca="false">'Set 2'!R10</f>
        <v>646.382176644298</v>
      </c>
      <c r="Q20" s="19" t="str">
        <f aca="false">IF(ISNUMBER('Set 2'!S10),'Set 2'!S10,"")</f>
        <v/>
      </c>
      <c r="R20" s="20" t="str">
        <f aca="false">IF(ISNUMBER('Set 2'!T10),'Set 2'!T10,"")</f>
        <v/>
      </c>
      <c r="S20" s="21" t="str">
        <f aca="false">IF(ISNUMBER('Set 2'!V10),'Set 2'!V10,"")</f>
        <v/>
      </c>
      <c r="T20" s="21" t="str">
        <f aca="false">IF(ISNUMBER('Set 2'!W10),'Set 2'!W10,"")</f>
        <v/>
      </c>
      <c r="U20" s="22" t="str">
        <f aca="false">IF(ISNUMBER('Set 2'!X10),'Set 2'!X10,"")</f>
        <v/>
      </c>
    </row>
    <row r="21" customFormat="false" ht="15" hidden="false" customHeight="false" outlineLevel="0" collapsed="false">
      <c r="A21" s="17" t="s">
        <v>28</v>
      </c>
      <c r="B21" s="18" t="n">
        <f aca="false">'Set 2'!A11</f>
        <v>10</v>
      </c>
      <c r="C21" s="19" t="n">
        <f aca="false">'Set 2'!C11</f>
        <v>50.55</v>
      </c>
      <c r="D21" s="18" t="n">
        <f aca="false">'Set 2'!D11</f>
        <v>720</v>
      </c>
      <c r="E21" s="19" t="n">
        <f aca="false">'Set 2'!E11</f>
        <v>0.888888888888889</v>
      </c>
      <c r="F21" s="19" t="n">
        <f aca="false">'Set 2'!F11</f>
        <v>0.04</v>
      </c>
      <c r="G21" s="18" t="n">
        <f aca="false">'Set 2'!I11</f>
        <v>365.193909930287</v>
      </c>
      <c r="H21" s="18" t="str">
        <f aca="false">IF(ISNUMBER('Set 2'!J11),'Set 2'!J11,"")</f>
        <v/>
      </c>
      <c r="I21" s="18" t="str">
        <f aca="false">IF(ISNUMBER('Set 2'!K11),'Set 2'!K11,"")</f>
        <v/>
      </c>
      <c r="J21" s="18" t="n">
        <f aca="false">'Set 2'!L11</f>
        <v>1147.99922817314</v>
      </c>
      <c r="K21" s="18" t="str">
        <f aca="false">IF(ISNUMBER('Set 2'!M11),'Set 2'!M11,"")</f>
        <v/>
      </c>
      <c r="L21" s="18" t="str">
        <f aca="false">IF(ISNUMBER('Set 2'!N11),'Set 2'!N11,"")</f>
        <v/>
      </c>
      <c r="M21" s="19" t="n">
        <f aca="false">'Set 2'!O11</f>
        <v>7.680507</v>
      </c>
      <c r="N21" s="19" t="str">
        <f aca="false">IF(ISNUMBER('Set 2'!P11),'Set 2'!P11,"")</f>
        <v/>
      </c>
      <c r="O21" s="19" t="str">
        <f aca="false">IF(ISNUMBER('Set 2'!Q11),'Set 2'!Q11,"")</f>
        <v/>
      </c>
      <c r="P21" s="20" t="n">
        <f aca="false">'Set 2'!R11</f>
        <v>655.711579058753</v>
      </c>
      <c r="Q21" s="19" t="str">
        <f aca="false">IF(ISNUMBER('Set 2'!S11),'Set 2'!S11,"")</f>
        <v/>
      </c>
      <c r="R21" s="20" t="str">
        <f aca="false">IF(ISNUMBER('Set 2'!T11),'Set 2'!T11,"")</f>
        <v/>
      </c>
      <c r="S21" s="21" t="str">
        <f aca="false">IF(ISNUMBER('Set 2'!V11),'Set 2'!V11,"")</f>
        <v/>
      </c>
      <c r="T21" s="21" t="str">
        <f aca="false">IF(ISNUMBER('Set 2'!W11),'Set 2'!W11,"")</f>
        <v/>
      </c>
      <c r="U21" s="22" t="str">
        <f aca="false">IF(ISNUMBER('Set 2'!X11),'Set 2'!X11,"")</f>
        <v/>
      </c>
    </row>
    <row r="24" customFormat="false" ht="15" hidden="false" customHeight="false" outlineLevel="0" collapsed="false">
      <c r="A24" s="23" t="s">
        <v>29</v>
      </c>
    </row>
    <row r="25" customFormat="false" ht="15" hidden="false" customHeight="false" outlineLevel="0" collapsed="false">
      <c r="A25" s="24" t="s">
        <v>30</v>
      </c>
      <c r="B25" s="24"/>
      <c r="C25" s="24" t="s">
        <v>31</v>
      </c>
      <c r="D25" s="24" t="s">
        <v>32</v>
      </c>
      <c r="E25" s="24" t="s">
        <v>33</v>
      </c>
      <c r="F25" s="24" t="s">
        <v>34</v>
      </c>
      <c r="G25" s="24" t="s">
        <v>35</v>
      </c>
      <c r="H25" s="24" t="s">
        <v>36</v>
      </c>
    </row>
    <row r="26" customFormat="false" ht="15" hidden="false" customHeight="false" outlineLevel="0" collapsed="false">
      <c r="A26" s="25" t="s">
        <v>37</v>
      </c>
      <c r="B26" s="25"/>
      <c r="C26" s="26" t="n">
        <f aca="false">SUMPRODUCT(ISNUMBER(G$2:G$11)*ISNUMBER(H$2:H$11))</f>
        <v>0</v>
      </c>
      <c r="D26" s="27" t="str">
        <f aca="false">IF(C26&gt;=3,IFERROR(CORREL(G$2:G$11,H$2:H$11),""),"")</f>
        <v/>
      </c>
      <c r="E26" s="26" t="n">
        <f aca="false">SUMPRODUCT(ISNUMBER(G$12:G$21)*ISNUMBER(H$12:H$21))</f>
        <v>0</v>
      </c>
      <c r="F26" s="27" t="str">
        <f aca="false">IF(E26&gt;=3,IFERROR(CORREL(G$12:G$21,H$12:H$21),""),"")</f>
        <v/>
      </c>
      <c r="G26" s="26" t="n">
        <f aca="false">SUMPRODUCT(ISNUMBER(G$2:G$21)*ISNUMBER(H$2:H$21))</f>
        <v>0</v>
      </c>
      <c r="H26" s="27" t="str">
        <f aca="false">IF(G26&gt;=3,IFERROR(CORREL(G$2:G$21,H$2:H$21),""),"")</f>
        <v/>
      </c>
    </row>
    <row r="27" customFormat="false" ht="15" hidden="false" customHeight="false" outlineLevel="0" collapsed="false">
      <c r="A27" s="25" t="s">
        <v>38</v>
      </c>
      <c r="B27" s="25"/>
      <c r="C27" s="26" t="n">
        <f aca="false">SUMPRODUCT(ISNUMBER(J$2:J$11)*ISNUMBER(K$2:K$11))</f>
        <v>0</v>
      </c>
      <c r="D27" s="27" t="str">
        <f aca="false">IF(C27&gt;=3,IFERROR(CORREL(J$2:J$11,K$2:K$11),""),"")</f>
        <v/>
      </c>
      <c r="E27" s="26" t="n">
        <f aca="false">SUMPRODUCT(ISNUMBER(J$12:J$21)*ISNUMBER(K$12:K$21))</f>
        <v>0</v>
      </c>
      <c r="F27" s="27" t="str">
        <f aca="false">IF(E27&gt;=3,IFERROR(CORREL(J$12:J$21,K$12:K$21),""),"")</f>
        <v/>
      </c>
      <c r="G27" s="26" t="n">
        <f aca="false">SUMPRODUCT(ISNUMBER(J$2:J$21)*ISNUMBER(K$2:K$21))</f>
        <v>0</v>
      </c>
      <c r="H27" s="27" t="str">
        <f aca="false">IF(G27&gt;=3,IFERROR(CORREL(J$2:J$21,K$2:K$21),""),"")</f>
        <v/>
      </c>
    </row>
    <row r="28" customFormat="false" ht="15" hidden="false" customHeight="false" outlineLevel="0" collapsed="false">
      <c r="A28" s="25" t="s">
        <v>39</v>
      </c>
      <c r="B28" s="25"/>
      <c r="C28" s="26" t="n">
        <f aca="false">SUMPRODUCT(ISNUMBER(M$2:M$11)*ISNUMBER(N$2:N$11))</f>
        <v>0</v>
      </c>
      <c r="D28" s="27" t="str">
        <f aca="false">IF(C28&gt;=3,IFERROR(CORREL(M$2:M$11,N$2:N$11),""),"")</f>
        <v/>
      </c>
      <c r="E28" s="26" t="n">
        <f aca="false">SUMPRODUCT(ISNUMBER(M$12:M$21)*ISNUMBER(N$12:N$21))</f>
        <v>0</v>
      </c>
      <c r="F28" s="27" t="str">
        <f aca="false">IF(E28&gt;=3,IFERROR(CORREL(M$12:M$21,N$12:N$21),""),"")</f>
        <v/>
      </c>
      <c r="G28" s="26" t="n">
        <f aca="false">SUMPRODUCT(ISNUMBER(M$2:M$21)*ISNUMBER(N$2:N$21))</f>
        <v>0</v>
      </c>
      <c r="H28" s="27" t="str">
        <f aca="false">IF(G28&gt;=3,IFERROR(CORREL(M$2:M$21,N$2:N$21),""),"")</f>
        <v/>
      </c>
    </row>
    <row r="29" customFormat="false" ht="15" hidden="false" customHeight="false" outlineLevel="0" collapsed="false">
      <c r="A29" s="25" t="s">
        <v>40</v>
      </c>
      <c r="B29" s="25"/>
      <c r="C29" s="26" t="n">
        <f aca="false">SUMPRODUCT(ISNUMBER(P$2:P$11)*ISNUMBER(Q$2:Q$11))</f>
        <v>0</v>
      </c>
      <c r="D29" s="27" t="str">
        <f aca="false">IF(C29&gt;=3,IFERROR(CORREL(P$2:P$11,Q$2:Q$11),""),"")</f>
        <v/>
      </c>
      <c r="E29" s="26" t="n">
        <f aca="false">SUMPRODUCT(ISNUMBER(P$12:P$21)*ISNUMBER(Q$12:Q$21))</f>
        <v>0</v>
      </c>
      <c r="F29" s="27" t="str">
        <f aca="false">IF(E29&gt;=3,IFERROR(CORREL(P$12:P$21,Q$12:Q$21),""),"")</f>
        <v/>
      </c>
      <c r="G29" s="26" t="n">
        <f aca="false">SUMPRODUCT(ISNUMBER(P$2:P$21)*ISNUMBER(Q$2:Q$21))</f>
        <v>0</v>
      </c>
      <c r="H29" s="27" t="str">
        <f aca="false">IF(G29&gt;=3,IFERROR(CORREL(P$2:P$21,Q$2:Q$21),""),"")</f>
        <v/>
      </c>
    </row>
  </sheetData>
  <mergeCells count="5">
    <mergeCell ref="A25:B25"/>
    <mergeCell ref="A26:B26"/>
    <mergeCell ref="A27:B27"/>
    <mergeCell ref="A28:B28"/>
    <mergeCell ref="A29:B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8" t="s">
        <v>41</v>
      </c>
    </row>
    <row r="2" customFormat="false" ht="15" hidden="false" customHeight="false" outlineLevel="0" collapsed="false">
      <c r="A2" s="29" t="s">
        <v>42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5" hidden="false" customHeight="false" outlineLevel="0" collapsed="false">
      <c r="A1" s="30" t="s">
        <v>43</v>
      </c>
    </row>
    <row r="2" customFormat="false" ht="15" hidden="false" customHeight="false" outlineLevel="0" collapsed="false">
      <c r="A2" s="31" t="s">
        <v>44</v>
      </c>
    </row>
    <row r="3" customFormat="false" ht="15" hidden="false" customHeight="false" outlineLevel="0" collapsed="false">
      <c r="A3" s="32" t="s">
        <v>45</v>
      </c>
    </row>
    <row r="4" customFormat="false" ht="30" hidden="false" customHeight="true" outlineLevel="0" collapsed="false">
      <c r="A4" s="33" t="s">
        <v>46</v>
      </c>
      <c r="B4" s="34" t="n">
        <v>640</v>
      </c>
      <c r="C4" s="33" t="s">
        <v>47</v>
      </c>
    </row>
    <row r="5" customFormat="false" ht="57" hidden="false" customHeight="true" outlineLevel="0" collapsed="false">
      <c r="A5" s="33" t="s">
        <v>48</v>
      </c>
      <c r="B5" s="34" t="n">
        <v>640</v>
      </c>
      <c r="C5" s="33" t="s">
        <v>49</v>
      </c>
    </row>
    <row r="6" customFormat="false" ht="57.0" hidden="false" customHeight="true" outlineLevel="0" collapsed="false">
      <c r="A6" s="33" t="s">
        <v>91</v>
      </c>
      <c r="B6" s="44" t="n">
        <v>5</v>
      </c>
      <c r="C6" s="33" t="s">
        <v>92</v>
      </c>
    </row>
    <row r="7" customFormat="false" ht="70.5" hidden="false" customHeight="true" outlineLevel="0" collapsed="false">
      <c r="A7" s="33" t="s">
        <v>93</v>
      </c>
      <c r="B7" s="44" t="n">
        <v>0.5</v>
      </c>
      <c r="C7" s="33" t="s">
        <v>94</v>
      </c>
    </row>
    <row r="9" customFormat="false" ht="15" hidden="false" customHeight="false" outlineLevel="0" collapsed="false">
      <c r="A9" s="32" t="s">
        <v>50</v>
      </c>
    </row>
    <row r="10" customFormat="false" ht="16.5" hidden="false" customHeight="true" outlineLevel="0" collapsed="false">
      <c r="A10" s="35" t="s">
        <v>51</v>
      </c>
      <c r="C10" s="33" t="s">
        <v>52</v>
      </c>
    </row>
    <row r="11" customFormat="false" ht="16.5" hidden="false" customHeight="true" outlineLevel="0" collapsed="false">
      <c r="A11" s="36" t="s">
        <v>53</v>
      </c>
      <c r="C11" s="33" t="s">
        <v>54</v>
      </c>
    </row>
    <row r="12" customFormat="false" ht="43.5" hidden="false" customHeight="true" outlineLevel="0" collapsed="false">
      <c r="A12" s="37" t="s">
        <v>55</v>
      </c>
      <c r="C12" s="33" t="s">
        <v>56</v>
      </c>
    </row>
    <row r="13" customFormat="false" ht="16.5" hidden="false" customHeight="true" outlineLevel="0" collapsed="false">
      <c r="A13" s="38" t="s">
        <v>57</v>
      </c>
      <c r="C13" s="33" t="s">
        <v>58</v>
      </c>
    </row>
    <row r="14" customFormat="false" ht="30" hidden="false" customHeight="true" outlineLevel="0" collapsed="false">
      <c r="A14" s="33" t="s">
        <v>59</v>
      </c>
      <c r="C14" s="33" t="s">
        <v>60</v>
      </c>
    </row>
    <row r="16" customFormat="false" ht="15" hidden="false" customHeight="false" outlineLevel="0" collapsed="false">
      <c r="A16" s="32" t="s">
        <v>61</v>
      </c>
    </row>
    <row r="17" customFormat="false" ht="30" hidden="false" customHeight="true" outlineLevel="0" collapsed="false">
      <c r="A17" s="39" t="s">
        <v>62</v>
      </c>
      <c r="C17" s="33" t="s">
        <v>63</v>
      </c>
    </row>
    <row r="18" customFormat="false" ht="16.5" hidden="false" customHeight="true" outlineLevel="0" collapsed="false">
      <c r="A18" s="39" t="s">
        <v>64</v>
      </c>
      <c r="C18" s="33" t="s">
        <v>65</v>
      </c>
    </row>
    <row r="19" customFormat="false" ht="97.5" hidden="false" customHeight="true" outlineLevel="0" collapsed="false">
      <c r="A19" s="39" t="s">
        <v>66</v>
      </c>
      <c r="C19" s="33" t="s">
        <v>67</v>
      </c>
    </row>
    <row r="20" customFormat="false" ht="30" hidden="false" customHeight="true" outlineLevel="0" collapsed="false">
      <c r="A20" s="39" t="s">
        <v>68</v>
      </c>
      <c r="C20" s="33" t="s">
        <v>69</v>
      </c>
    </row>
    <row r="21" customFormat="false" ht="30" hidden="false" customHeight="true" outlineLevel="0" collapsed="false">
      <c r="A21" s="39" t="s">
        <v>70</v>
      </c>
      <c r="C21" s="33" t="s">
        <v>71</v>
      </c>
    </row>
    <row r="22" customFormat="false" ht="43.5" hidden="false" customHeight="true" outlineLevel="0" collapsed="false">
      <c r="A22" s="39" t="s">
        <v>72</v>
      </c>
      <c r="C22" s="33" t="s">
        <v>73</v>
      </c>
    </row>
    <row r="23" customFormat="false" ht="16.5" hidden="false" customHeight="true" outlineLevel="0" collapsed="false">
      <c r="A23" s="39" t="s">
        <v>18</v>
      </c>
      <c r="C23" s="33" t="s">
        <v>74</v>
      </c>
    </row>
    <row r="24" customFormat="false" ht="43.5" hidden="false" customHeight="true" outlineLevel="0" collapsed="false">
      <c r="A24" s="39" t="s">
        <v>19</v>
      </c>
      <c r="C24" s="33" t="s">
        <v>75</v>
      </c>
    </row>
    <row r="25" customFormat="false" ht="57" hidden="false" customHeight="true" outlineLevel="0" collapsed="false">
      <c r="A25" s="39" t="s">
        <v>24</v>
      </c>
      <c r="C25" s="33" t="s">
        <v>76</v>
      </c>
    </row>
    <row r="26" customFormat="false" ht="70.5" hidden="false" customHeight="true" outlineLevel="0" collapsed="false">
      <c r="A26" s="39" t="s">
        <v>77</v>
      </c>
      <c r="C26" s="33" t="s">
        <v>78</v>
      </c>
    </row>
    <row r="27" customFormat="false" ht="43.5" hidden="false" customHeight="true" outlineLevel="0" collapsed="false">
      <c r="A27" s="39" t="s">
        <v>79</v>
      </c>
      <c r="C27" s="33" t="s">
        <v>80</v>
      </c>
    </row>
    <row r="28" customFormat="false" ht="30" hidden="false" customHeight="true" outlineLevel="0" collapsed="false">
      <c r="A28" s="39" t="s">
        <v>1</v>
      </c>
      <c r="C28" s="33" t="s">
        <v>81</v>
      </c>
    </row>
    <row r="30" customFormat="false" ht="15" hidden="false" customHeight="false" outlineLevel="0" collapsed="false">
      <c r="A30" s="32" t="s">
        <v>82</v>
      </c>
    </row>
    <row r="31" customFormat="false" ht="30" hidden="false" customHeight="true" outlineLevel="0" collapsed="false">
      <c r="A31" s="33" t="s">
        <v>83</v>
      </c>
      <c r="C31" s="33" t="s">
        <v>84</v>
      </c>
    </row>
    <row r="32" customFormat="false" ht="15" hidden="false" customHeight="false" outlineLevel="0" collapsed="false">
      <c r="A32" s="33" t="s">
        <v>8</v>
      </c>
      <c r="B32" s="40" t="n">
        <v>572</v>
      </c>
    </row>
    <row r="33" customFormat="false" ht="15" hidden="false" customHeight="false" outlineLevel="0" collapsed="false">
      <c r="A33" s="33" t="s">
        <v>11</v>
      </c>
      <c r="B33" s="40" t="n">
        <v>796</v>
      </c>
    </row>
    <row r="34" customFormat="false" ht="15" hidden="false" customHeight="false" outlineLevel="0" collapsed="false">
      <c r="A34" s="33" t="s">
        <v>14</v>
      </c>
      <c r="B34" s="41" t="n">
        <v>4.95</v>
      </c>
    </row>
    <row r="35" customFormat="false" ht="15" hidden="false" customHeight="false" outlineLevel="0" collapsed="false">
      <c r="A35" s="33" t="s">
        <v>17</v>
      </c>
      <c r="B35" s="41" t="n">
        <v>5.57</v>
      </c>
    </row>
    <row r="36" customFormat="false" ht="15" hidden="false" customHeight="false" outlineLevel="0" collapsed="false">
      <c r="A36" s="33" t="s">
        <v>20</v>
      </c>
      <c r="B36" s="42" t="n">
        <v>0.931</v>
      </c>
    </row>
    <row r="37" customFormat="false" ht="15" hidden="false" customHeight="false" outlineLevel="0" collapsed="false">
      <c r="A37" s="33" t="s">
        <v>21</v>
      </c>
      <c r="B37" s="42" t="n">
        <v>0.618</v>
      </c>
    </row>
    <row r="38" customFormat="false" ht="15" hidden="false" customHeight="false" outlineLevel="0" collapsed="false">
      <c r="A38" s="33" t="s">
        <v>22</v>
      </c>
      <c r="B38" s="43" t="n">
        <v>0.000178</v>
      </c>
    </row>
    <row r="40" customFormat="false" ht="15" hidden="false" customHeight="false" outlineLevel="0" collapsed="false">
      <c r="A40" s="32" t="s">
        <v>85</v>
      </c>
    </row>
    <row r="41" customFormat="false" ht="30" hidden="false" customHeight="true" outlineLevel="0" collapsed="false">
      <c r="A41" s="33" t="s">
        <v>86</v>
      </c>
      <c r="C41" s="33" t="s">
        <v>87</v>
      </c>
    </row>
    <row r="42" customFormat="false" ht="30" hidden="false" customHeight="true" outlineLevel="0" collapsed="false">
      <c r="A42" s="33" t="s">
        <v>86</v>
      </c>
      <c r="C42" s="33" t="s">
        <v>88</v>
      </c>
    </row>
    <row r="43" customFormat="false" ht="16.5" hidden="false" customHeight="true" outlineLevel="0" collapsed="false">
      <c r="A43" s="33" t="s">
        <v>86</v>
      </c>
      <c r="C43" s="33" t="s">
        <v>89</v>
      </c>
    </row>
    <row r="44" customFormat="false" ht="30" hidden="false" customHeight="true" outlineLevel="0" collapsed="false">
      <c r="A44" s="33" t="s">
        <v>86</v>
      </c>
      <c r="C44" s="33" t="s">
        <v>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2026-10-07T18:58:08Z</dcterms:created>
  <dc:creator>openpyxl</dc:creator>
  <dc:description/>
  <dc:language>en-US</dc:language>
  <cp:lastModifiedBy/>
  <dcterms:modified xsi:type="dcterms:W3CDTF">2026-10-07T18:58:09Z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